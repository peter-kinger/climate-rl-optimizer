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2"/>
  </bookViews>
  <sheets>
    <sheet name="Sheet1" sheetId="1" r:id="rId1"/>
    <sheet name="co2emission" sheetId="2" r:id="rId2"/>
    <sheet name="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<sst xmlns="http://schemas.openxmlformats.org/spreadsheetml/2006/main" count="52" uniqueCount="36">
  <si>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Time</t>
  </si>
  <si>
    <t>energy_MYbaseline18502100_total_formulated</t>
  </si>
  <si>
    <t>energy_default</t>
  </si>
  <si>
    <t>slow</t>
  </si>
  <si>
    <t>energy_default_slow</t>
  </si>
  <si>
    <t>energy_speed</t>
  </si>
  <si>
    <t>energy_MYadjusted18502100_total_plus_B3B_plus_ACE3</t>
  </si>
  <si>
    <t>E11的比较</t>
  </si>
  <si>
    <t>year</t>
  </si>
  <si>
    <t>E11_default</t>
  </si>
  <si>
    <t>E11_slow</t>
  </si>
  <si>
    <t>E11_speed</t>
  </si>
  <si>
    <t>default</t>
  </si>
  <si>
    <t>net_emission(gtc)_default</t>
  </si>
  <si>
    <t>CO2emission_actualFF_default</t>
  </si>
  <si>
    <t>CO2emission_ACE1_default</t>
  </si>
  <si>
    <t>CO2emission_ACE2_default</t>
  </si>
  <si>
    <t>CO2emission_ACE3</t>
  </si>
  <si>
    <t>ratio_net_over_gross</t>
  </si>
  <si>
    <t>slow2</t>
  </si>
  <si>
    <t>net_emission(gtc)_slow2</t>
  </si>
  <si>
    <t>CO2emission_actualFF_slow2</t>
  </si>
  <si>
    <t>CO2emission_ACE1_slow2</t>
  </si>
  <si>
    <t>CO2emission_ACE2_slow2</t>
  </si>
  <si>
    <t xml:space="preserve"> speed</t>
  </si>
  <si>
    <t>net_emission(gtc)——speed24</t>
  </si>
  <si>
    <t>CO2emission_actualFF_speed24</t>
  </si>
  <si>
    <t>CO2emission_ACE1_speed24</t>
  </si>
  <si>
    <t>CO2emission_ACE2_speed24</t>
  </si>
  <si>
    <t>re_speed</t>
  </si>
  <si>
    <t>差值</t>
  </si>
  <si>
    <t>re_default</t>
  </si>
  <si>
    <t>re_slow</t>
  </si>
  <si>
    <t>放大后的结果</t>
  </si>
  <si>
    <t>差值放大后</t>
  </si>
  <si>
    <t>规范化原来的值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</si>
</sst>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energy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energy_MYbaseline18502100_total_formulated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  <c:pt idx="176">
                  <c:v>2026</c:v>
                </c:pt>
                <c:pt idx="177">
                  <c:v>2027</c:v>
                </c:pt>
                <c:pt idx="178">
                  <c:v>2028</c:v>
                </c:pt>
                <c:pt idx="179">
                  <c:v>2029</c:v>
                </c:pt>
                <c:pt idx="180">
                  <c:v>2030</c:v>
                </c:pt>
                <c:pt idx="181">
                  <c:v>2031</c:v>
                </c:pt>
                <c:pt idx="182">
                  <c:v>2032</c:v>
                </c:pt>
                <c:pt idx="183">
                  <c:v>2033</c:v>
                </c:pt>
                <c:pt idx="184">
                  <c:v>2034</c:v>
                </c:pt>
                <c:pt idx="185">
                  <c:v>2035</c:v>
                </c:pt>
                <c:pt idx="186">
                  <c:v>2036</c:v>
                </c:pt>
                <c:pt idx="187">
                  <c:v>2037</c:v>
                </c:pt>
                <c:pt idx="188">
                  <c:v>2038</c:v>
                </c:pt>
                <c:pt idx="189">
                  <c:v>2039</c:v>
                </c:pt>
                <c:pt idx="190">
                  <c:v>2040</c:v>
                </c:pt>
                <c:pt idx="191">
                  <c:v>2041</c:v>
                </c:pt>
                <c:pt idx="192">
                  <c:v>2042</c:v>
                </c:pt>
                <c:pt idx="193">
                  <c:v>2043</c:v>
                </c:pt>
                <c:pt idx="194">
                  <c:v>2044</c:v>
                </c:pt>
                <c:pt idx="195">
                  <c:v>2045</c:v>
                </c:pt>
                <c:pt idx="196">
                  <c:v>2046</c:v>
                </c:pt>
                <c:pt idx="197">
                  <c:v>2047</c:v>
                </c:pt>
                <c:pt idx="198">
                  <c:v>2048</c:v>
                </c:pt>
                <c:pt idx="199">
                  <c:v>2049</c:v>
                </c:pt>
                <c:pt idx="200">
                  <c:v>2050</c:v>
                </c:pt>
                <c:pt idx="201">
                  <c:v>2051</c:v>
                </c:pt>
                <c:pt idx="202">
                  <c:v>2052</c:v>
                </c:pt>
                <c:pt idx="203">
                  <c:v>2053</c:v>
                </c:pt>
                <c:pt idx="204">
                  <c:v>2054</c:v>
                </c:pt>
                <c:pt idx="205">
                  <c:v>2055</c:v>
                </c:pt>
                <c:pt idx="206">
                  <c:v>2056</c:v>
                </c:pt>
                <c:pt idx="207">
                  <c:v>2057</c:v>
                </c:pt>
                <c:pt idx="208">
                  <c:v>2058</c:v>
                </c:pt>
                <c:pt idx="209">
                  <c:v>2059</c:v>
                </c:pt>
                <c:pt idx="210">
                  <c:v>2060</c:v>
                </c:pt>
                <c:pt idx="211">
                  <c:v>2061</c:v>
                </c:pt>
                <c:pt idx="212">
                  <c:v>2062</c:v>
                </c:pt>
                <c:pt idx="213">
                  <c:v>2063</c:v>
                </c:pt>
                <c:pt idx="214">
                  <c:v>2064</c:v>
                </c:pt>
                <c:pt idx="215">
                  <c:v>2065</c:v>
                </c:pt>
                <c:pt idx="216">
                  <c:v>2066</c:v>
                </c:pt>
                <c:pt idx="217">
                  <c:v>2067</c:v>
                </c:pt>
                <c:pt idx="218">
                  <c:v>2068</c:v>
                </c:pt>
                <c:pt idx="219">
                  <c:v>2069</c:v>
                </c:pt>
                <c:pt idx="220">
                  <c:v>2070</c:v>
                </c:pt>
                <c:pt idx="221">
                  <c:v>2071</c:v>
                </c:pt>
                <c:pt idx="222">
                  <c:v>2072</c:v>
                </c:pt>
                <c:pt idx="223">
                  <c:v>2073</c:v>
                </c:pt>
                <c:pt idx="224">
                  <c:v>2074</c:v>
                </c:pt>
                <c:pt idx="225">
                  <c:v>2075</c:v>
                </c:pt>
                <c:pt idx="226">
                  <c:v>2076</c:v>
                </c:pt>
                <c:pt idx="227">
                  <c:v>2077</c:v>
                </c:pt>
                <c:pt idx="228">
                  <c:v>2078</c:v>
                </c:pt>
                <c:pt idx="229">
                  <c:v>2079</c:v>
                </c:pt>
                <c:pt idx="230">
                  <c:v>2080</c:v>
                </c:pt>
                <c:pt idx="231">
                  <c:v>2081</c:v>
                </c:pt>
                <c:pt idx="232">
                  <c:v>2082</c:v>
                </c:pt>
                <c:pt idx="233">
                  <c:v>2083</c:v>
                </c:pt>
                <c:pt idx="234">
                  <c:v>2084</c:v>
                </c:pt>
                <c:pt idx="235">
                  <c:v>2085</c:v>
                </c:pt>
                <c:pt idx="236">
                  <c:v>2086</c:v>
                </c:pt>
                <c:pt idx="237">
                  <c:v>2087</c:v>
                </c:pt>
                <c:pt idx="238">
                  <c:v>2088</c:v>
                </c:pt>
                <c:pt idx="239">
                  <c:v>2089</c:v>
                </c:pt>
                <c:pt idx="240">
                  <c:v>2090</c:v>
                </c:pt>
                <c:pt idx="241">
                  <c:v>2091</c:v>
                </c:pt>
                <c:pt idx="242">
                  <c:v>2092</c:v>
                </c:pt>
                <c:pt idx="243">
                  <c:v>2093</c:v>
                </c:pt>
                <c:pt idx="244">
                  <c:v>2094</c:v>
                </c:pt>
                <c:pt idx="245">
                  <c:v>2095</c:v>
                </c:pt>
                <c:pt idx="246">
                  <c:v>2096</c:v>
                </c:pt>
                <c:pt idx="247">
                  <c:v>2097</c:v>
                </c:pt>
                <c:pt idx="248">
                  <c:v>2098</c:v>
                </c:pt>
                <c:pt idx="249">
                  <c:v>2099</c:v>
                </c:pt>
                <c:pt idx="250">
                  <c:v>2100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Sheet1!$B$2:$B$252</c15:sqref>
                  </c15:fullRef>
                </c:ext>
              </c:extLst>
              <c:f>Sheet1!$B$3:$B$252</c:f>
              <c:numCache>
                <c:formatCode>General</c:formatCode>
                <c:ptCount val="250"/>
                <c:pt idx="0">
                  <c:v>52.852344171439</c:v>
                </c:pt>
                <c:pt idx="1">
                  <c:v>52.9934744031856</c:v>
                </c:pt>
                <c:pt idx="2">
                  <c:v>53.08756122435</c:v>
                </c:pt>
                <c:pt idx="3">
                  <c:v>53.557995330172</c:v>
                </c:pt>
                <c:pt idx="4">
                  <c:v>53.6520821513364</c:v>
                </c:pt>
                <c:pt idx="5">
                  <c:v>53.8872992042474</c:v>
                </c:pt>
                <c:pt idx="6">
                  <c:v>53.9343426148296</c:v>
                </c:pt>
                <c:pt idx="7">
                  <c:v>53.9813860254118</c:v>
                </c:pt>
                <c:pt idx="8">
                  <c:v>54.2166030783228</c:v>
                </c:pt>
                <c:pt idx="9">
                  <c:v>54.5929503629805</c:v>
                </c:pt>
                <c:pt idx="10">
                  <c:v>54.7811240053093</c:v>
                </c:pt>
                <c:pt idx="11">
                  <c:v>54.8752108264737</c:v>
                </c:pt>
                <c:pt idx="12">
                  <c:v>55.2045147005491</c:v>
                </c:pt>
                <c:pt idx="13">
                  <c:v>55.5808619852067</c:v>
                </c:pt>
                <c:pt idx="14">
                  <c:v>55.9101658592821</c:v>
                </c:pt>
                <c:pt idx="15">
                  <c:v>56.0512960910288</c:v>
                </c:pt>
                <c:pt idx="16">
                  <c:v>56.4276433756864</c:v>
                </c:pt>
                <c:pt idx="17">
                  <c:v>56.6628604285974</c:v>
                </c:pt>
                <c:pt idx="18">
                  <c:v>56.9921643026728</c:v>
                </c:pt>
                <c:pt idx="19">
                  <c:v>57.2273813555838</c:v>
                </c:pt>
                <c:pt idx="20">
                  <c:v>57.6507720508236</c:v>
                </c:pt>
                <c:pt idx="21">
                  <c:v>58.4505100307211</c:v>
                </c:pt>
                <c:pt idx="22">
                  <c:v>58.9679875471253</c:v>
                </c:pt>
                <c:pt idx="23">
                  <c:v>58.4975534413033</c:v>
                </c:pt>
                <c:pt idx="24">
                  <c:v>59.1561611894541</c:v>
                </c:pt>
                <c:pt idx="25">
                  <c:v>59.2972914212007</c:v>
                </c:pt>
                <c:pt idx="26">
                  <c:v>59.4384216529474</c:v>
                </c:pt>
                <c:pt idx="27">
                  <c:v>59.5325084741118</c:v>
                </c:pt>
                <c:pt idx="28">
                  <c:v>60.1911162222626</c:v>
                </c:pt>
                <c:pt idx="29">
                  <c:v>61.4142448973999</c:v>
                </c:pt>
                <c:pt idx="30">
                  <c:v>61.7435487714753</c:v>
                </c:pt>
                <c:pt idx="31">
                  <c:v>62.3551131090439</c:v>
                </c:pt>
                <c:pt idx="32">
                  <c:v>63.1078076783592</c:v>
                </c:pt>
                <c:pt idx="33">
                  <c:v>63.2489379101058</c:v>
                </c:pt>
                <c:pt idx="34">
                  <c:v>63.3430247312702</c:v>
                </c:pt>
                <c:pt idx="35">
                  <c:v>63.531198373599</c:v>
                </c:pt>
                <c:pt idx="36">
                  <c:v>64.1898061217498</c:v>
                </c:pt>
                <c:pt idx="37">
                  <c:v>65.6951952603803</c:v>
                </c:pt>
                <c:pt idx="38">
                  <c:v>65.6951952603803</c:v>
                </c:pt>
                <c:pt idx="39">
                  <c:v>67.0594541672642</c:v>
                </c:pt>
                <c:pt idx="40">
                  <c:v>67.8121487365795</c:v>
                </c:pt>
                <c:pt idx="41">
                  <c:v>67.9062355577439</c:v>
                </c:pt>
                <c:pt idx="42">
                  <c:v>67.718061915415</c:v>
                </c:pt>
                <c:pt idx="43">
                  <c:v>68.3296262529837</c:v>
                </c:pt>
                <c:pt idx="44">
                  <c:v>69.4116246963744</c:v>
                </c:pt>
                <c:pt idx="45">
                  <c:v>70.023189033943</c:v>
                </c:pt>
                <c:pt idx="46">
                  <c:v>71.0111006561692</c:v>
                </c:pt>
                <c:pt idx="47">
                  <c:v>72.1871859207243</c:v>
                </c:pt>
                <c:pt idx="48">
                  <c:v>74.1630091651768</c:v>
                </c:pt>
                <c:pt idx="49">
                  <c:v>75.4331812508963</c:v>
                </c:pt>
                <c:pt idx="50">
                  <c:v>76.279962641376</c:v>
                </c:pt>
                <c:pt idx="51">
                  <c:v>76.9385703895268</c:v>
                </c:pt>
                <c:pt idx="52">
                  <c:v>79.3377843292191</c:v>
                </c:pt>
                <c:pt idx="53">
                  <c:v>79.6670882032946</c:v>
                </c:pt>
                <c:pt idx="54">
                  <c:v>81.5017812160005</c:v>
                </c:pt>
                <c:pt idx="55">
                  <c:v>83.5716912816174</c:v>
                </c:pt>
                <c:pt idx="56">
                  <c:v>87.194033896447</c:v>
                </c:pt>
                <c:pt idx="57">
                  <c:v>85.5945579366521</c:v>
                </c:pt>
                <c:pt idx="58">
                  <c:v>87.2410773070292</c:v>
                </c:pt>
                <c:pt idx="59">
                  <c:v>88.8405532668241</c:v>
                </c:pt>
                <c:pt idx="60">
                  <c:v>89.6402912467216</c:v>
                </c:pt>
                <c:pt idx="61">
                  <c:v>91.6631579017563</c:v>
                </c:pt>
                <c:pt idx="62">
                  <c:v>94.6739361790173</c:v>
                </c:pt>
                <c:pt idx="63">
                  <c:v>90.2988989948724</c:v>
                </c:pt>
                <c:pt idx="64">
                  <c:v>89.734378067886</c:v>
                </c:pt>
                <c:pt idx="65">
                  <c:v>92.6981129345648</c:v>
                </c:pt>
                <c:pt idx="66">
                  <c:v>95.2384571060037</c:v>
                </c:pt>
                <c:pt idx="67">
                  <c:v>94.3446323049419</c:v>
                </c:pt>
                <c:pt idx="68">
                  <c:v>88.2289889292555</c:v>
                </c:pt>
                <c:pt idx="69">
                  <c:v>94.156458662613</c:v>
                </c:pt>
                <c:pt idx="70">
                  <c:v>88.0878586975089</c:v>
                </c:pt>
                <c:pt idx="71">
                  <c:v>90.0636819419614</c:v>
                </c:pt>
                <c:pt idx="72">
                  <c:v>95.9441082647368</c:v>
                </c:pt>
                <c:pt idx="73">
                  <c:v>95.6148043906613</c:v>
                </c:pt>
                <c:pt idx="74">
                  <c:v>96.1793253176478</c:v>
                </c:pt>
                <c:pt idx="75">
                  <c:v>96.5556726023054</c:v>
                </c:pt>
                <c:pt idx="76">
                  <c:v>100.272102038299</c:v>
                </c:pt>
                <c:pt idx="77">
                  <c:v>100.413232270046</c:v>
                </c:pt>
                <c:pt idx="78">
                  <c:v>104.176705116622</c:v>
                </c:pt>
                <c:pt idx="79">
                  <c:v>99.8487113430596</c:v>
                </c:pt>
                <c:pt idx="80">
                  <c:v>94.5328059472707</c:v>
                </c:pt>
                <c:pt idx="81">
                  <c:v>90.1577687631258</c:v>
                </c:pt>
                <c:pt idx="82">
                  <c:v>92.3217656499071</c:v>
                </c:pt>
                <c:pt idx="83">
                  <c:v>96.0852384964834</c:v>
                </c:pt>
                <c:pt idx="84">
                  <c:v>98.6255826679223</c:v>
                </c:pt>
                <c:pt idx="85">
                  <c:v>103.471053957889</c:v>
                </c:pt>
                <c:pt idx="86">
                  <c:v>107.187483393883</c:v>
                </c:pt>
                <c:pt idx="87">
                  <c:v>104.035574884876</c:v>
                </c:pt>
                <c:pt idx="88">
                  <c:v>106.387745413986</c:v>
                </c:pt>
                <c:pt idx="89">
                  <c:v>111.421390346281</c:v>
                </c:pt>
                <c:pt idx="90">
                  <c:v>113.067909716659</c:v>
                </c:pt>
                <c:pt idx="91">
                  <c:v>113.444257001316</c:v>
                </c:pt>
                <c:pt idx="92">
                  <c:v>115.749384119844</c:v>
                </c:pt>
                <c:pt idx="93">
                  <c:v>115.373036835186</c:v>
                </c:pt>
                <c:pt idx="94">
                  <c:v>104.882356275355</c:v>
                </c:pt>
                <c:pt idx="95">
                  <c:v>108.551742300767</c:v>
                </c:pt>
                <c:pt idx="96">
                  <c:v>115.796427530426</c:v>
                </c:pt>
                <c:pt idx="97">
                  <c:v>119.418770145256</c:v>
                </c:pt>
                <c:pt idx="98">
                  <c:v>117.066599616146</c:v>
                </c:pt>
                <c:pt idx="99">
                  <c:v>126.992759248991</c:v>
                </c:pt>
                <c:pt idx="100">
                  <c:v>133.437706498752</c:v>
                </c:pt>
                <c:pt idx="101">
                  <c:v>135.919140745054</c:v>
                </c:pt>
                <c:pt idx="102">
                  <c:v>139.247356381835</c:v>
                </c:pt>
                <c:pt idx="103">
                  <c:v>141.540616985808</c:v>
                </c:pt>
                <c:pt idx="104">
                  <c:v>151.031519408858</c:v>
                </c:pt>
                <c:pt idx="105">
                  <c:v>158.546598587455</c:v>
                </c:pt>
                <c:pt idx="106">
                  <c:v>164.0858545216</c:v>
                </c:pt>
                <c:pt idx="107">
                  <c:v>168.072677906533</c:v>
                </c:pt>
                <c:pt idx="108">
                  <c:v>175.041012083615</c:v>
                </c:pt>
                <c:pt idx="109">
                  <c:v>181.615136585783</c:v>
                </c:pt>
                <c:pt idx="110">
                  <c:v>183.313189970632</c:v>
                </c:pt>
                <c:pt idx="111">
                  <c:v>189.434612188902</c:v>
                </c:pt>
                <c:pt idx="112">
                  <c:v>197.543202337147</c:v>
                </c:pt>
                <c:pt idx="113">
                  <c:v>206.285944846246</c:v>
                </c:pt>
                <c:pt idx="114">
                  <c:v>213.829079063076</c:v>
                </c:pt>
                <c:pt idx="115">
                  <c:v>222.432494780847</c:v>
                </c:pt>
                <c:pt idx="116">
                  <c:v>228.545689414164</c:v>
                </c:pt>
                <c:pt idx="117">
                  <c:v>237.830035649477</c:v>
                </c:pt>
                <c:pt idx="118">
                  <c:v>249.047185919451</c:v>
                </c:pt>
                <c:pt idx="119">
                  <c:v>263.042901245845</c:v>
                </c:pt>
                <c:pt idx="120">
                  <c:v>281.670742554199</c:v>
                </c:pt>
                <c:pt idx="121">
                  <c:v>285.927650686778</c:v>
                </c:pt>
                <c:pt idx="122">
                  <c:v>290.248893747028</c:v>
                </c:pt>
                <c:pt idx="123">
                  <c:v>294.635444032868</c:v>
                </c:pt>
                <c:pt idx="124">
                  <c:v>299.088288536618</c:v>
                </c:pt>
                <c:pt idx="125">
                  <c:v>303.608429167077</c:v>
                </c:pt>
                <c:pt idx="126">
                  <c:v>308.196882974955</c:v>
                </c:pt>
                <c:pt idx="127">
                  <c:v>312.854682381719</c:v>
                </c:pt>
                <c:pt idx="128">
                  <c:v>317.582875411884</c:v>
                </c:pt>
                <c:pt idx="129">
                  <c:v>322.38252592883</c:v>
                </c:pt>
                <c:pt idx="130">
                  <c:v>327.254713874171</c:v>
                </c:pt>
                <c:pt idx="131">
                  <c:v>332.20053551075</c:v>
                </c:pt>
                <c:pt idx="132">
                  <c:v>337.2211036693</c:v>
                </c:pt>
                <c:pt idx="133">
                  <c:v>342.317547998839</c:v>
                </c:pt>
                <c:pt idx="134">
                  <c:v>347.49101522084</c:v>
                </c:pt>
                <c:pt idx="135">
                  <c:v>352.742669387254</c:v>
                </c:pt>
                <c:pt idx="136">
                  <c:v>358.073692142425</c:v>
                </c:pt>
                <c:pt idx="137">
                  <c:v>363.485282988962</c:v>
                </c:pt>
                <c:pt idx="138">
                  <c:v>368.978659557637</c:v>
                </c:pt>
                <c:pt idx="139">
                  <c:v>374.555057881353</c:v>
                </c:pt>
                <c:pt idx="140">
                  <c:v>380.215732673259</c:v>
                </c:pt>
                <c:pt idx="141">
                  <c:v>385.961957609062</c:v>
                </c:pt>
                <c:pt idx="142">
                  <c:v>391.795025613617</c:v>
                </c:pt>
                <c:pt idx="143">
                  <c:v>397.716249151833</c:v>
                </c:pt>
                <c:pt idx="144">
                  <c:v>403.726960523987</c:v>
                </c:pt>
                <c:pt idx="145">
                  <c:v>409.828512165493</c:v>
                </c:pt>
                <c:pt idx="146">
                  <c:v>416.022276951214</c:v>
                </c:pt>
                <c:pt idx="147">
                  <c:v>422.309648504357</c:v>
                </c:pt>
                <c:pt idx="148">
                  <c:v>428.692041510044</c:v>
                </c:pt>
                <c:pt idx="149">
                  <c:v>435.17089203363</c:v>
                </c:pt>
                <c:pt idx="150">
                  <c:v>441.747657843815</c:v>
                </c:pt>
                <c:pt idx="151">
                  <c:v>448.423818740651</c:v>
                </c:pt>
                <c:pt idx="152">
                  <c:v>455.200876888505</c:v>
                </c:pt>
                <c:pt idx="153">
                  <c:v>462.080357154053</c:v>
                </c:pt>
                <c:pt idx="154">
                  <c:v>466.512758672021</c:v>
                </c:pt>
                <c:pt idx="155">
                  <c:v>477.207408846149</c:v>
                </c:pt>
                <c:pt idx="156">
                  <c:v>487.480209246108</c:v>
                </c:pt>
                <c:pt idx="157">
                  <c:v>497.341350406078</c:v>
                </c:pt>
                <c:pt idx="158">
                  <c:v>506.800812930499</c:v>
                </c:pt>
                <c:pt idx="159">
                  <c:v>515.868371486182</c:v>
                </c:pt>
                <c:pt idx="160">
                  <c:v>534.007386374345</c:v>
                </c:pt>
                <c:pt idx="161">
                  <c:v>551.491947299479</c:v>
                </c:pt>
                <c:pt idx="162">
                  <c:v>568.337520770423</c:v>
                </c:pt>
                <c:pt idx="163">
                  <c:v>584.559257825946</c:v>
                </c:pt>
                <c:pt idx="164">
                  <c:v>600.172</c:v>
                </c:pt>
                <c:pt idx="165">
                  <c:v>609.069039565848</c:v>
                </c:pt>
                <c:pt idx="166">
                  <c:v>617.160876634853</c:v>
                </c:pt>
                <c:pt idx="167">
                  <c:v>624.481848608711</c:v>
                </c:pt>
                <c:pt idx="168">
                  <c:v>631.065088153978</c:v>
                </c:pt>
                <c:pt idx="169">
                  <c:v>636.942561760009</c:v>
                </c:pt>
                <c:pt idx="170">
                  <c:v>660.171965583591</c:v>
                </c:pt>
                <c:pt idx="171">
                  <c:v>681.866016890824</c:v>
                </c:pt>
                <c:pt idx="172">
                  <c:v>702.086371004214</c:v>
                </c:pt>
                <c:pt idx="173">
                  <c:v>720.89257464717</c:v>
                </c:pt>
                <c:pt idx="174">
                  <c:v>738.342132481885</c:v>
                </c:pt>
                <c:pt idx="175">
                  <c:v>754.490571646973</c:v>
                </c:pt>
                <c:pt idx="176">
                  <c:v>769.391504353057</c:v>
                </c:pt>
                <c:pt idx="177">
                  <c:v>783.096688592889</c:v>
                </c:pt>
                <c:pt idx="178">
                  <c:v>795.656087020921</c:v>
                </c:pt>
                <c:pt idx="179">
                  <c:v>807.117924055735</c:v>
                </c:pt>
                <c:pt idx="180">
                  <c:v>832.009620871758</c:v>
                </c:pt>
                <c:pt idx="181">
                  <c:v>855.180141874573</c:v>
                </c:pt>
                <c:pt idx="182">
                  <c:v>876.699305039234</c:v>
                </c:pt>
                <c:pt idx="183">
                  <c:v>896.634529946443</c:v>
                </c:pt>
                <c:pt idx="184">
                  <c:v>915.050913654615</c:v>
                </c:pt>
                <c:pt idx="185">
                  <c:v>932.011304287432</c:v>
                </c:pt>
                <c:pt idx="186">
                  <c:v>947.576372403442</c:v>
                </c:pt>
                <c:pt idx="187">
                  <c:v>961.804680212362</c:v>
                </c:pt>
                <c:pt idx="188">
                  <c:v>974.752748700914</c:v>
                </c:pt>
                <c:pt idx="189">
                  <c:v>986.475122729229</c:v>
                </c:pt>
                <c:pt idx="190">
                  <c:v>1033.32113007291</c:v>
                </c:pt>
                <c:pt idx="191">
                  <c:v>1059.35689144135</c:v>
                </c:pt>
                <c:pt idx="192">
                  <c:v>1084.54772586812</c:v>
                </c:pt>
                <c:pt idx="193">
                  <c:v>1108.91111600336</c:v>
                </c:pt>
                <c:pt idx="194">
                  <c:v>1132.46423384044</c:v>
                </c:pt>
                <c:pt idx="195">
                  <c:v>1155.22394582433</c:v>
                </c:pt>
                <c:pt idx="196">
                  <c:v>1177.20681787984</c:v>
                </c:pt>
                <c:pt idx="197">
                  <c:v>1198.42912036089</c:v>
                </c:pt>
                <c:pt idx="198">
                  <c:v>1218.90683292212</c:v>
                </c:pt>
                <c:pt idx="199">
                  <c:v>1238.65564931394</c:v>
                </c:pt>
                <c:pt idx="200">
                  <c:v>1260.74175857484</c:v>
                </c:pt>
                <c:pt idx="201">
                  <c:v>1282.05071342492</c:v>
                </c:pt>
                <c:pt idx="202">
                  <c:v>1302.59890471185</c:v>
                </c:pt>
                <c:pt idx="203">
                  <c:v>1322.40242952391</c:v>
                </c:pt>
                <c:pt idx="204">
                  <c:v>1341.477096044</c:v>
                </c:pt>
                <c:pt idx="205">
                  <c:v>1359.83842832722</c:v>
                </c:pt>
                <c:pt idx="206">
                  <c:v>1377.50167100334</c:v>
                </c:pt>
                <c:pt idx="207">
                  <c:v>1394.48179390503</c:v>
                </c:pt>
                <c:pt idx="208">
                  <c:v>1410.79349662334</c:v>
                </c:pt>
                <c:pt idx="209">
                  <c:v>1426.45121299116</c:v>
                </c:pt>
                <c:pt idx="210">
                  <c:v>1445.56102022701</c:v>
                </c:pt>
                <c:pt idx="211">
                  <c:v>1463.9392281074</c:v>
                </c:pt>
                <c:pt idx="212">
                  <c:v>1481.60154721951</c:v>
                </c:pt>
                <c:pt idx="213">
                  <c:v>1498.563404364</c:v>
                </c:pt>
                <c:pt idx="214">
                  <c:v>1514.83994726481</c:v>
                </c:pt>
                <c:pt idx="215">
                  <c:v>1530.44604920474</c:v>
                </c:pt>
                <c:pt idx="216">
                  <c:v>1545.39631358778</c:v>
                </c:pt>
                <c:pt idx="217">
                  <c:v>1559.70507842941</c:v>
                </c:pt>
                <c:pt idx="218">
                  <c:v>1573.38642077591</c:v>
                </c:pt>
                <c:pt idx="219">
                  <c:v>1586.45416105377</c:v>
                </c:pt>
                <c:pt idx="220">
                  <c:v>1600.80888208342</c:v>
                </c:pt>
                <c:pt idx="221">
                  <c:v>1614.52814423771</c:v>
                </c:pt>
                <c:pt idx="222">
                  <c:v>1627.62596787035</c:v>
                </c:pt>
                <c:pt idx="223">
                  <c:v>1640.11611717203</c:v>
                </c:pt>
                <c:pt idx="224">
                  <c:v>1652.01210444869</c:v>
                </c:pt>
                <c:pt idx="225">
                  <c:v>1663.32719433199</c:v>
                </c:pt>
                <c:pt idx="226">
                  <c:v>1674.07440792308</c:v>
                </c:pt>
                <c:pt idx="227">
                  <c:v>1684.26652687058</c:v>
                </c:pt>
                <c:pt idx="228">
                  <c:v>1693.91609738388</c:v>
                </c:pt>
                <c:pt idx="229">
                  <c:v>1703.03543418277</c:v>
                </c:pt>
                <c:pt idx="230">
                  <c:v>1713.20281002869</c:v>
                </c:pt>
                <c:pt idx="231">
                  <c:v>1722.82344533165</c:v>
                </c:pt>
                <c:pt idx="232">
                  <c:v>1731.90976722846</c:v>
                </c:pt>
                <c:pt idx="233">
                  <c:v>1740.47397304852</c:v>
                </c:pt>
                <c:pt idx="234">
                  <c:v>1748.52803417703</c:v>
                </c:pt>
                <c:pt idx="235">
                  <c:v>1756.08369985679</c:v>
                </c:pt>
                <c:pt idx="236">
                  <c:v>1763.15250092945</c:v>
                </c:pt>
                <c:pt idx="237">
                  <c:v>1769.74575351717</c:v>
                </c:pt>
                <c:pt idx="238">
                  <c:v>1775.87456264566</c:v>
                </c:pt>
                <c:pt idx="239">
                  <c:v>1781.54982580939</c:v>
                </c:pt>
                <c:pt idx="240">
                  <c:v>1788.17742824938</c:v>
                </c:pt>
                <c:pt idx="241">
                  <c:v>1794.33663088024</c:v>
                </c:pt>
                <c:pt idx="242">
                  <c:v>1800.03842766558</c:v>
                </c:pt>
                <c:pt idx="243">
                  <c:v>1805.29360671415</c:v>
                </c:pt>
                <c:pt idx="244">
                  <c:v>1810.11275376344</c:v>
                </c:pt>
                <c:pt idx="245">
                  <c:v>1814.50625560763</c:v>
                </c:pt>
                <c:pt idx="246">
                  <c:v>1818.48430347067</c:v>
                </c:pt>
                <c:pt idx="247">
                  <c:v>1822.05689632554</c:v>
                </c:pt>
                <c:pt idx="248">
                  <c:v>1825.23384416029</c:v>
                </c:pt>
                <c:pt idx="249">
                  <c:v>1828.02477119185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energy_default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  <c:pt idx="176">
                  <c:v>2026</c:v>
                </c:pt>
                <c:pt idx="177">
                  <c:v>2027</c:v>
                </c:pt>
                <c:pt idx="178">
                  <c:v>2028</c:v>
                </c:pt>
                <c:pt idx="179">
                  <c:v>2029</c:v>
                </c:pt>
                <c:pt idx="180">
                  <c:v>2030</c:v>
                </c:pt>
                <c:pt idx="181">
                  <c:v>2031</c:v>
                </c:pt>
                <c:pt idx="182">
                  <c:v>2032</c:v>
                </c:pt>
                <c:pt idx="183">
                  <c:v>2033</c:v>
                </c:pt>
                <c:pt idx="184">
                  <c:v>2034</c:v>
                </c:pt>
                <c:pt idx="185">
                  <c:v>2035</c:v>
                </c:pt>
                <c:pt idx="186">
                  <c:v>2036</c:v>
                </c:pt>
                <c:pt idx="187">
                  <c:v>2037</c:v>
                </c:pt>
                <c:pt idx="188">
                  <c:v>2038</c:v>
                </c:pt>
                <c:pt idx="189">
                  <c:v>2039</c:v>
                </c:pt>
                <c:pt idx="190">
                  <c:v>2040</c:v>
                </c:pt>
                <c:pt idx="191">
                  <c:v>2041</c:v>
                </c:pt>
                <c:pt idx="192">
                  <c:v>2042</c:v>
                </c:pt>
                <c:pt idx="193">
                  <c:v>2043</c:v>
                </c:pt>
                <c:pt idx="194">
                  <c:v>2044</c:v>
                </c:pt>
                <c:pt idx="195">
                  <c:v>2045</c:v>
                </c:pt>
                <c:pt idx="196">
                  <c:v>2046</c:v>
                </c:pt>
                <c:pt idx="197">
                  <c:v>2047</c:v>
                </c:pt>
                <c:pt idx="198">
                  <c:v>2048</c:v>
                </c:pt>
                <c:pt idx="199">
                  <c:v>2049</c:v>
                </c:pt>
                <c:pt idx="200">
                  <c:v>2050</c:v>
                </c:pt>
                <c:pt idx="201">
                  <c:v>2051</c:v>
                </c:pt>
                <c:pt idx="202">
                  <c:v>2052</c:v>
                </c:pt>
                <c:pt idx="203">
                  <c:v>2053</c:v>
                </c:pt>
                <c:pt idx="204">
                  <c:v>2054</c:v>
                </c:pt>
                <c:pt idx="205">
                  <c:v>2055</c:v>
                </c:pt>
                <c:pt idx="206">
                  <c:v>2056</c:v>
                </c:pt>
                <c:pt idx="207">
                  <c:v>2057</c:v>
                </c:pt>
                <c:pt idx="208">
                  <c:v>2058</c:v>
                </c:pt>
                <c:pt idx="209">
                  <c:v>2059</c:v>
                </c:pt>
                <c:pt idx="210">
                  <c:v>2060</c:v>
                </c:pt>
                <c:pt idx="211">
                  <c:v>2061</c:v>
                </c:pt>
                <c:pt idx="212">
                  <c:v>2062</c:v>
                </c:pt>
                <c:pt idx="213">
                  <c:v>2063</c:v>
                </c:pt>
                <c:pt idx="214">
                  <c:v>2064</c:v>
                </c:pt>
                <c:pt idx="215">
                  <c:v>2065</c:v>
                </c:pt>
                <c:pt idx="216">
                  <c:v>2066</c:v>
                </c:pt>
                <c:pt idx="217">
                  <c:v>2067</c:v>
                </c:pt>
                <c:pt idx="218">
                  <c:v>2068</c:v>
                </c:pt>
                <c:pt idx="219">
                  <c:v>2069</c:v>
                </c:pt>
                <c:pt idx="220">
                  <c:v>2070</c:v>
                </c:pt>
                <c:pt idx="221">
                  <c:v>2071</c:v>
                </c:pt>
                <c:pt idx="222">
                  <c:v>2072</c:v>
                </c:pt>
                <c:pt idx="223">
                  <c:v>2073</c:v>
                </c:pt>
                <c:pt idx="224">
                  <c:v>2074</c:v>
                </c:pt>
                <c:pt idx="225">
                  <c:v>2075</c:v>
                </c:pt>
                <c:pt idx="226">
                  <c:v>2076</c:v>
                </c:pt>
                <c:pt idx="227">
                  <c:v>2077</c:v>
                </c:pt>
                <c:pt idx="228">
                  <c:v>2078</c:v>
                </c:pt>
                <c:pt idx="229">
                  <c:v>2079</c:v>
                </c:pt>
                <c:pt idx="230">
                  <c:v>2080</c:v>
                </c:pt>
                <c:pt idx="231">
                  <c:v>2081</c:v>
                </c:pt>
                <c:pt idx="232">
                  <c:v>2082</c:v>
                </c:pt>
                <c:pt idx="233">
                  <c:v>2083</c:v>
                </c:pt>
                <c:pt idx="234">
                  <c:v>2084</c:v>
                </c:pt>
                <c:pt idx="235">
                  <c:v>2085</c:v>
                </c:pt>
                <c:pt idx="236">
                  <c:v>2086</c:v>
                </c:pt>
                <c:pt idx="237">
                  <c:v>2087</c:v>
                </c:pt>
                <c:pt idx="238">
                  <c:v>2088</c:v>
                </c:pt>
                <c:pt idx="239">
                  <c:v>2089</c:v>
                </c:pt>
                <c:pt idx="240">
                  <c:v>2090</c:v>
                </c:pt>
                <c:pt idx="241">
                  <c:v>2091</c:v>
                </c:pt>
                <c:pt idx="242">
                  <c:v>2092</c:v>
                </c:pt>
                <c:pt idx="243">
                  <c:v>2093</c:v>
                </c:pt>
                <c:pt idx="244">
                  <c:v>2094</c:v>
                </c:pt>
                <c:pt idx="245">
                  <c:v>2095</c:v>
                </c:pt>
                <c:pt idx="246">
                  <c:v>2096</c:v>
                </c:pt>
                <c:pt idx="247">
                  <c:v>2097</c:v>
                </c:pt>
                <c:pt idx="248">
                  <c:v>2098</c:v>
                </c:pt>
                <c:pt idx="249">
                  <c:v>2099</c:v>
                </c:pt>
                <c:pt idx="250">
                  <c:v>2100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Sheet1!$C$2:$C$252</c15:sqref>
                  </c15:fullRef>
                </c:ext>
              </c:extLst>
              <c:f>Sheet1!$C$3:$C$252</c:f>
              <c:numCache>
                <c:formatCode>General</c:formatCode>
                <c:ptCount val="250"/>
                <c:pt idx="0">
                  <c:v>52.852344171439</c:v>
                </c:pt>
                <c:pt idx="1">
                  <c:v>52.9934744031856</c:v>
                </c:pt>
                <c:pt idx="2">
                  <c:v>53.08756122435</c:v>
                </c:pt>
                <c:pt idx="3">
                  <c:v>53.557995330172</c:v>
                </c:pt>
                <c:pt idx="4">
                  <c:v>53.6520821513364</c:v>
                </c:pt>
                <c:pt idx="5">
                  <c:v>53.8872992042474</c:v>
                </c:pt>
                <c:pt idx="6">
                  <c:v>53.9343426148296</c:v>
                </c:pt>
                <c:pt idx="7">
                  <c:v>53.9813860254118</c:v>
                </c:pt>
                <c:pt idx="8">
                  <c:v>54.2166030783228</c:v>
                </c:pt>
                <c:pt idx="9">
                  <c:v>54.5929503629805</c:v>
                </c:pt>
                <c:pt idx="10">
                  <c:v>54.7811240053093</c:v>
                </c:pt>
                <c:pt idx="11">
                  <c:v>54.8752108264737</c:v>
                </c:pt>
                <c:pt idx="12">
                  <c:v>55.2045147005491</c:v>
                </c:pt>
                <c:pt idx="13">
                  <c:v>55.5808619852067</c:v>
                </c:pt>
                <c:pt idx="14">
                  <c:v>55.9101658592821</c:v>
                </c:pt>
                <c:pt idx="15">
                  <c:v>56.0512960910288</c:v>
                </c:pt>
                <c:pt idx="16">
                  <c:v>56.4276433756864</c:v>
                </c:pt>
                <c:pt idx="17">
                  <c:v>56.6628604285974</c:v>
                </c:pt>
                <c:pt idx="18">
                  <c:v>56.9921643026728</c:v>
                </c:pt>
                <c:pt idx="19">
                  <c:v>57.2273813555838</c:v>
                </c:pt>
                <c:pt idx="20">
                  <c:v>57.6507720508236</c:v>
                </c:pt>
                <c:pt idx="21">
                  <c:v>58.4505100307211</c:v>
                </c:pt>
                <c:pt idx="22">
                  <c:v>58.9679875471253</c:v>
                </c:pt>
                <c:pt idx="23">
                  <c:v>58.4975534413033</c:v>
                </c:pt>
                <c:pt idx="24">
                  <c:v>59.1561611894541</c:v>
                </c:pt>
                <c:pt idx="25">
                  <c:v>59.2972914212007</c:v>
                </c:pt>
                <c:pt idx="26">
                  <c:v>59.4384216529474</c:v>
                </c:pt>
                <c:pt idx="27">
                  <c:v>59.5325084741118</c:v>
                </c:pt>
                <c:pt idx="28">
                  <c:v>60.1911162222626</c:v>
                </c:pt>
                <c:pt idx="29">
                  <c:v>61.4142448973999</c:v>
                </c:pt>
                <c:pt idx="30">
                  <c:v>61.7435487714753</c:v>
                </c:pt>
                <c:pt idx="31">
                  <c:v>62.3551131090439</c:v>
                </c:pt>
                <c:pt idx="32">
                  <c:v>63.1078076783592</c:v>
                </c:pt>
                <c:pt idx="33">
                  <c:v>63.2489379101058</c:v>
                </c:pt>
                <c:pt idx="34">
                  <c:v>63.3430247312702</c:v>
                </c:pt>
                <c:pt idx="35">
                  <c:v>63.531198373599</c:v>
                </c:pt>
                <c:pt idx="36">
                  <c:v>64.1898061217498</c:v>
                </c:pt>
                <c:pt idx="37">
                  <c:v>65.6951952603803</c:v>
                </c:pt>
                <c:pt idx="38">
                  <c:v>65.6951952603803</c:v>
                </c:pt>
                <c:pt idx="39">
                  <c:v>67.0594541672642</c:v>
                </c:pt>
                <c:pt idx="40">
                  <c:v>67.8121487365795</c:v>
                </c:pt>
                <c:pt idx="41">
                  <c:v>67.9062355577439</c:v>
                </c:pt>
                <c:pt idx="42">
                  <c:v>67.718061915415</c:v>
                </c:pt>
                <c:pt idx="43">
                  <c:v>68.3296262529837</c:v>
                </c:pt>
                <c:pt idx="44">
                  <c:v>69.4116246963744</c:v>
                </c:pt>
                <c:pt idx="45">
                  <c:v>70.023189033943</c:v>
                </c:pt>
                <c:pt idx="46">
                  <c:v>71.0111006561692</c:v>
                </c:pt>
                <c:pt idx="47">
                  <c:v>72.1871859207243</c:v>
                </c:pt>
                <c:pt idx="48">
                  <c:v>74.1630091651768</c:v>
                </c:pt>
                <c:pt idx="49">
                  <c:v>75.4331812508963</c:v>
                </c:pt>
                <c:pt idx="50">
                  <c:v>76.279962641376</c:v>
                </c:pt>
                <c:pt idx="51">
                  <c:v>76.9385703895268</c:v>
                </c:pt>
                <c:pt idx="52">
                  <c:v>79.3377843292191</c:v>
                </c:pt>
                <c:pt idx="53">
                  <c:v>79.6670882032946</c:v>
                </c:pt>
                <c:pt idx="54">
                  <c:v>81.5017812160005</c:v>
                </c:pt>
                <c:pt idx="55">
                  <c:v>83.5716912816174</c:v>
                </c:pt>
                <c:pt idx="56">
                  <c:v>87.194033896447</c:v>
                </c:pt>
                <c:pt idx="57">
                  <c:v>85.5945579366521</c:v>
                </c:pt>
                <c:pt idx="58">
                  <c:v>87.2410773070292</c:v>
                </c:pt>
                <c:pt idx="59">
                  <c:v>88.8405532668241</c:v>
                </c:pt>
                <c:pt idx="60">
                  <c:v>89.6402912467216</c:v>
                </c:pt>
                <c:pt idx="61">
                  <c:v>91.6631579017563</c:v>
                </c:pt>
                <c:pt idx="62">
                  <c:v>94.6739361790173</c:v>
                </c:pt>
                <c:pt idx="63">
                  <c:v>90.2988989948724</c:v>
                </c:pt>
                <c:pt idx="64">
                  <c:v>89.734378067886</c:v>
                </c:pt>
                <c:pt idx="65">
                  <c:v>92.6981129345648</c:v>
                </c:pt>
                <c:pt idx="66">
                  <c:v>95.2384571060037</c:v>
                </c:pt>
                <c:pt idx="67">
                  <c:v>94.3446323049419</c:v>
                </c:pt>
                <c:pt idx="68">
                  <c:v>88.2289889292555</c:v>
                </c:pt>
                <c:pt idx="69">
                  <c:v>94.156458662613</c:v>
                </c:pt>
                <c:pt idx="70">
                  <c:v>88.0878586975089</c:v>
                </c:pt>
                <c:pt idx="71">
                  <c:v>90.0636819419614</c:v>
                </c:pt>
                <c:pt idx="72">
                  <c:v>95.9441082647368</c:v>
                </c:pt>
                <c:pt idx="73">
                  <c:v>95.6148043906613</c:v>
                </c:pt>
                <c:pt idx="74">
                  <c:v>96.1793253176478</c:v>
                </c:pt>
                <c:pt idx="75">
                  <c:v>96.5556726023054</c:v>
                </c:pt>
                <c:pt idx="76">
                  <c:v>100.272102038299</c:v>
                </c:pt>
                <c:pt idx="77">
                  <c:v>100.413232270046</c:v>
                </c:pt>
                <c:pt idx="78">
                  <c:v>104.176705116622</c:v>
                </c:pt>
                <c:pt idx="79">
                  <c:v>99.8487113430596</c:v>
                </c:pt>
                <c:pt idx="80">
                  <c:v>94.5328059472707</c:v>
                </c:pt>
                <c:pt idx="81">
                  <c:v>90.1577687631258</c:v>
                </c:pt>
                <c:pt idx="82">
                  <c:v>92.3217656499071</c:v>
                </c:pt>
                <c:pt idx="83">
                  <c:v>96.0852384964834</c:v>
                </c:pt>
                <c:pt idx="84">
                  <c:v>98.6255826679223</c:v>
                </c:pt>
                <c:pt idx="85">
                  <c:v>103.471053957889</c:v>
                </c:pt>
                <c:pt idx="86">
                  <c:v>107.187483393883</c:v>
                </c:pt>
                <c:pt idx="87">
                  <c:v>104.035574884876</c:v>
                </c:pt>
                <c:pt idx="88">
                  <c:v>106.387745413986</c:v>
                </c:pt>
                <c:pt idx="89">
                  <c:v>111.421390346281</c:v>
                </c:pt>
                <c:pt idx="90">
                  <c:v>113.067909716659</c:v>
                </c:pt>
                <c:pt idx="91">
                  <c:v>113.444257001316</c:v>
                </c:pt>
                <c:pt idx="92">
                  <c:v>115.749384119844</c:v>
                </c:pt>
                <c:pt idx="93">
                  <c:v>115.373036835186</c:v>
                </c:pt>
                <c:pt idx="94">
                  <c:v>104.882356275355</c:v>
                </c:pt>
                <c:pt idx="95">
                  <c:v>108.551742300767</c:v>
                </c:pt>
                <c:pt idx="96">
                  <c:v>115.796427530426</c:v>
                </c:pt>
                <c:pt idx="97">
                  <c:v>119.418770145256</c:v>
                </c:pt>
                <c:pt idx="98">
                  <c:v>117.066599616146</c:v>
                </c:pt>
                <c:pt idx="99">
                  <c:v>126.992759248991</c:v>
                </c:pt>
                <c:pt idx="100">
                  <c:v>133.437706498752</c:v>
                </c:pt>
                <c:pt idx="101">
                  <c:v>135.919140745054</c:v>
                </c:pt>
                <c:pt idx="102">
                  <c:v>139.247356381835</c:v>
                </c:pt>
                <c:pt idx="103">
                  <c:v>141.540616985808</c:v>
                </c:pt>
                <c:pt idx="104">
                  <c:v>151.031519408858</c:v>
                </c:pt>
                <c:pt idx="105">
                  <c:v>158.546598587455</c:v>
                </c:pt>
                <c:pt idx="106">
                  <c:v>164.0858545216</c:v>
                </c:pt>
                <c:pt idx="107">
                  <c:v>168.072677906533</c:v>
                </c:pt>
                <c:pt idx="108">
                  <c:v>175.041012083615</c:v>
                </c:pt>
                <c:pt idx="109">
                  <c:v>181.615136585783</c:v>
                </c:pt>
                <c:pt idx="110">
                  <c:v>183.313189970632</c:v>
                </c:pt>
                <c:pt idx="111">
                  <c:v>189.434612188902</c:v>
                </c:pt>
                <c:pt idx="112">
                  <c:v>197.543202337147</c:v>
                </c:pt>
                <c:pt idx="113">
                  <c:v>206.285944846246</c:v>
                </c:pt>
                <c:pt idx="114">
                  <c:v>213.829079063076</c:v>
                </c:pt>
                <c:pt idx="115">
                  <c:v>222.432494780847</c:v>
                </c:pt>
                <c:pt idx="116">
                  <c:v>228.545689414164</c:v>
                </c:pt>
                <c:pt idx="117">
                  <c:v>237.830035649477</c:v>
                </c:pt>
                <c:pt idx="118">
                  <c:v>249.047185919451</c:v>
                </c:pt>
                <c:pt idx="119">
                  <c:v>263.042901245845</c:v>
                </c:pt>
                <c:pt idx="120">
                  <c:v>281.670742554199</c:v>
                </c:pt>
                <c:pt idx="121">
                  <c:v>285.927650686778</c:v>
                </c:pt>
                <c:pt idx="122">
                  <c:v>290.248893747028</c:v>
                </c:pt>
                <c:pt idx="123">
                  <c:v>294.635444032868</c:v>
                </c:pt>
                <c:pt idx="124">
                  <c:v>299.088288536618</c:v>
                </c:pt>
                <c:pt idx="125">
                  <c:v>303.608429167077</c:v>
                </c:pt>
                <c:pt idx="126">
                  <c:v>308.196882974955</c:v>
                </c:pt>
                <c:pt idx="127">
                  <c:v>312.854682381719</c:v>
                </c:pt>
                <c:pt idx="128">
                  <c:v>317.582875411884</c:v>
                </c:pt>
                <c:pt idx="129">
                  <c:v>322.38252592883</c:v>
                </c:pt>
                <c:pt idx="130">
                  <c:v>327.254713874171</c:v>
                </c:pt>
                <c:pt idx="131">
                  <c:v>332.20053551075</c:v>
                </c:pt>
                <c:pt idx="132">
                  <c:v>337.2211036693</c:v>
                </c:pt>
                <c:pt idx="133">
                  <c:v>342.317547998839</c:v>
                </c:pt>
                <c:pt idx="134">
                  <c:v>347.49101522084</c:v>
                </c:pt>
                <c:pt idx="135">
                  <c:v>352.742669387254</c:v>
                </c:pt>
                <c:pt idx="136">
                  <c:v>358.073692142425</c:v>
                </c:pt>
                <c:pt idx="137">
                  <c:v>363.485282988962</c:v>
                </c:pt>
                <c:pt idx="138">
                  <c:v>368.978659557637</c:v>
                </c:pt>
                <c:pt idx="139">
                  <c:v>374.555057881353</c:v>
                </c:pt>
                <c:pt idx="140">
                  <c:v>380.215732673259</c:v>
                </c:pt>
                <c:pt idx="141">
                  <c:v>385.961957609062</c:v>
                </c:pt>
                <c:pt idx="142">
                  <c:v>391.795025613617</c:v>
                </c:pt>
                <c:pt idx="143">
                  <c:v>397.716249151833</c:v>
                </c:pt>
                <c:pt idx="144">
                  <c:v>403.726960523987</c:v>
                </c:pt>
                <c:pt idx="145">
                  <c:v>409.828512165493</c:v>
                </c:pt>
                <c:pt idx="146">
                  <c:v>416.022276951214</c:v>
                </c:pt>
                <c:pt idx="147">
                  <c:v>422.309648504357</c:v>
                </c:pt>
                <c:pt idx="148">
                  <c:v>428.692041510044</c:v>
                </c:pt>
                <c:pt idx="149">
                  <c:v>435.17089203363</c:v>
                </c:pt>
                <c:pt idx="150">
                  <c:v>441.747657843815</c:v>
                </c:pt>
                <c:pt idx="151">
                  <c:v>448.423818740651</c:v>
                </c:pt>
                <c:pt idx="152">
                  <c:v>455.200876888505</c:v>
                </c:pt>
                <c:pt idx="153">
                  <c:v>462.080357154053</c:v>
                </c:pt>
                <c:pt idx="154">
                  <c:v>466.512758672021</c:v>
                </c:pt>
                <c:pt idx="155">
                  <c:v>477.207408846149</c:v>
                </c:pt>
                <c:pt idx="156">
                  <c:v>487.480209246108</c:v>
                </c:pt>
                <c:pt idx="157">
                  <c:v>497.341350406078</c:v>
                </c:pt>
                <c:pt idx="158">
                  <c:v>506.800812930499</c:v>
                </c:pt>
                <c:pt idx="159">
                  <c:v>515.868371486182</c:v>
                </c:pt>
                <c:pt idx="160">
                  <c:v>534.007386374345</c:v>
                </c:pt>
                <c:pt idx="161">
                  <c:v>551.491947299479</c:v>
                </c:pt>
                <c:pt idx="162">
                  <c:v>568.337520770423</c:v>
                </c:pt>
                <c:pt idx="163">
                  <c:v>584.559257825946</c:v>
                </c:pt>
                <c:pt idx="164">
                  <c:v>603.087760931729</c:v>
                </c:pt>
                <c:pt idx="165">
                  <c:v>608.282113123267</c:v>
                </c:pt>
                <c:pt idx="166">
                  <c:v>613.478105046222</c:v>
                </c:pt>
                <c:pt idx="167">
                  <c:v>616.74633870264</c:v>
                </c:pt>
                <c:pt idx="168">
                  <c:v>619.942605065637</c:v>
                </c:pt>
                <c:pt idx="169">
                  <c:v>622.272707564947</c:v>
                </c:pt>
                <c:pt idx="170">
                  <c:v>641.296814330282</c:v>
                </c:pt>
                <c:pt idx="171">
                  <c:v>657.82361241711</c:v>
                </c:pt>
                <c:pt idx="172">
                  <c:v>672.443263257573</c:v>
                </c:pt>
                <c:pt idx="173">
                  <c:v>685.225237050332</c:v>
                </c:pt>
                <c:pt idx="174">
                  <c:v>696.889194926988</c:v>
                </c:pt>
                <c:pt idx="175">
                  <c:v>705.559807951731</c:v>
                </c:pt>
                <c:pt idx="176">
                  <c:v>714.26625081222</c:v>
                </c:pt>
                <c:pt idx="177">
                  <c:v>721.819464470292</c:v>
                </c:pt>
                <c:pt idx="178">
                  <c:v>726.891222906976</c:v>
                </c:pt>
                <c:pt idx="179">
                  <c:v>730.273244803459</c:v>
                </c:pt>
                <c:pt idx="180">
                  <c:v>746.654996560707</c:v>
                </c:pt>
                <c:pt idx="181">
                  <c:v>759.44140800352</c:v>
                </c:pt>
                <c:pt idx="182">
                  <c:v>772.048976730478</c:v>
                </c:pt>
                <c:pt idx="183">
                  <c:v>781.095136076297</c:v>
                </c:pt>
                <c:pt idx="184">
                  <c:v>789.884490522081</c:v>
                </c:pt>
                <c:pt idx="185">
                  <c:v>796.801921772626</c:v>
                </c:pt>
                <c:pt idx="186">
                  <c:v>802.569411398285</c:v>
                </c:pt>
                <c:pt idx="187">
                  <c:v>806.849845447232</c:v>
                </c:pt>
                <c:pt idx="188">
                  <c:v>809.97818224745</c:v>
                </c:pt>
                <c:pt idx="189">
                  <c:v>811.924879857842</c:v>
                </c:pt>
                <c:pt idx="190">
                  <c:v>842.353493750593</c:v>
                </c:pt>
                <c:pt idx="191">
                  <c:v>854.744059532923</c:v>
                </c:pt>
                <c:pt idx="192">
                  <c:v>866.916653324723</c:v>
                </c:pt>
                <c:pt idx="193">
                  <c:v>878.269569059</c:v>
                </c:pt>
                <c:pt idx="194">
                  <c:v>888.706490098357</c:v>
                </c:pt>
                <c:pt idx="195">
                  <c:v>898.58521428269</c:v>
                </c:pt>
                <c:pt idx="196">
                  <c:v>908.482380141782</c:v>
                </c:pt>
                <c:pt idx="197">
                  <c:v>916.711466826135</c:v>
                </c:pt>
                <c:pt idx="198">
                  <c:v>924.756153733442</c:v>
                </c:pt>
                <c:pt idx="199">
                  <c:v>932.046937872819</c:v>
                </c:pt>
                <c:pt idx="200">
                  <c:v>941.198283556208</c:v>
                </c:pt>
                <c:pt idx="201">
                  <c:v>949.573511381232</c:v>
                </c:pt>
                <c:pt idx="202">
                  <c:v>957.524705383313</c:v>
                </c:pt>
                <c:pt idx="203">
                  <c:v>964.879623936478</c:v>
                </c:pt>
                <c:pt idx="204">
                  <c:v>971.755075890993</c:v>
                </c:pt>
                <c:pt idx="205">
                  <c:v>979.60603109984</c:v>
                </c:pt>
                <c:pt idx="206">
                  <c:v>985.031463445641</c:v>
                </c:pt>
                <c:pt idx="207">
                  <c:v>995.74502798724</c:v>
                </c:pt>
                <c:pt idx="208">
                  <c:v>1008.457682909</c:v>
                </c:pt>
                <c:pt idx="209">
                  <c:v>1020.776782443</c:v>
                </c:pt>
                <c:pt idx="210">
                  <c:v>1035.62828515567</c:v>
                </c:pt>
                <c:pt idx="211">
                  <c:v>1050.04972270919</c:v>
                </c:pt>
                <c:pt idx="212">
                  <c:v>1063.9546283772</c:v>
                </c:pt>
                <c:pt idx="213">
                  <c:v>1077.51681005149</c:v>
                </c:pt>
                <c:pt idx="214">
                  <c:v>1090.62085831868</c:v>
                </c:pt>
                <c:pt idx="215">
                  <c:v>1103.28308861526</c:v>
                </c:pt>
                <c:pt idx="216">
                  <c:v>1115.63554644159</c:v>
                </c:pt>
                <c:pt idx="217">
                  <c:v>1127.5144014311</c:v>
                </c:pt>
                <c:pt idx="218">
                  <c:v>1139.11233929394</c:v>
                </c:pt>
                <c:pt idx="219">
                  <c:v>1150.26386189633</c:v>
                </c:pt>
                <c:pt idx="220">
                  <c:v>1162.48481814928</c:v>
                </c:pt>
                <c:pt idx="221">
                  <c:v>1174.24242692279</c:v>
                </c:pt>
                <c:pt idx="222">
                  <c:v>1185.71408441561</c:v>
                </c:pt>
                <c:pt idx="223">
                  <c:v>1196.74559231832</c:v>
                </c:pt>
                <c:pt idx="224">
                  <c:v>1207.4908558902</c:v>
                </c:pt>
                <c:pt idx="225">
                  <c:v>1217.82707806915</c:v>
                </c:pt>
                <c:pt idx="226">
                  <c:v>1227.86591993307</c:v>
                </c:pt>
                <c:pt idx="227">
                  <c:v>1237.66159816616</c:v>
                </c:pt>
                <c:pt idx="228">
                  <c:v>1247.14909207505</c:v>
                </c:pt>
                <c:pt idx="229">
                  <c:v>1256.32603739826</c:v>
                </c:pt>
                <c:pt idx="230">
                  <c:v>1266.29362483401</c:v>
                </c:pt>
                <c:pt idx="231">
                  <c:v>1275.93115477675</c:v>
                </c:pt>
                <c:pt idx="232">
                  <c:v>1285.2428076198</c:v>
                </c:pt>
                <c:pt idx="233">
                  <c:v>1294.23202202283</c:v>
                </c:pt>
                <c:pt idx="234">
                  <c:v>1302.90178719181</c:v>
                </c:pt>
                <c:pt idx="235">
                  <c:v>1311.25455641803</c:v>
                </c:pt>
                <c:pt idx="236">
                  <c:v>1319.29235563165</c:v>
                </c:pt>
                <c:pt idx="237">
                  <c:v>1327.01680405308</c:v>
                </c:pt>
                <c:pt idx="238">
                  <c:v>1334.42918355742</c:v>
                </c:pt>
                <c:pt idx="239">
                  <c:v>1341.53049147956</c:v>
                </c:pt>
                <c:pt idx="240">
                  <c:v>1349.29824383012</c:v>
                </c:pt>
                <c:pt idx="241">
                  <c:v>1356.73121879643</c:v>
                </c:pt>
                <c:pt idx="242">
                  <c:v>1363.83046277701</c:v>
                </c:pt>
                <c:pt idx="243">
                  <c:v>1370.59695598397</c:v>
                </c:pt>
                <c:pt idx="244">
                  <c:v>1377.03170632034</c:v>
                </c:pt>
                <c:pt idx="245">
                  <c:v>1383.13579937114</c:v>
                </c:pt>
                <c:pt idx="246">
                  <c:v>1388.91045771782</c:v>
                </c:pt>
                <c:pt idx="247">
                  <c:v>1394.3570903982</c:v>
                </c:pt>
                <c:pt idx="248">
                  <c:v>1399.47733802155</c:v>
                </c:pt>
                <c:pt idx="249">
                  <c:v>1404.27311073691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energy_default_slow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  <c:pt idx="176">
                  <c:v>2026</c:v>
                </c:pt>
                <c:pt idx="177">
                  <c:v>2027</c:v>
                </c:pt>
                <c:pt idx="178">
                  <c:v>2028</c:v>
                </c:pt>
                <c:pt idx="179">
                  <c:v>2029</c:v>
                </c:pt>
                <c:pt idx="180">
                  <c:v>2030</c:v>
                </c:pt>
                <c:pt idx="181">
                  <c:v>2031</c:v>
                </c:pt>
                <c:pt idx="182">
                  <c:v>2032</c:v>
                </c:pt>
                <c:pt idx="183">
                  <c:v>2033</c:v>
                </c:pt>
                <c:pt idx="184">
                  <c:v>2034</c:v>
                </c:pt>
                <c:pt idx="185">
                  <c:v>2035</c:v>
                </c:pt>
                <c:pt idx="186">
                  <c:v>2036</c:v>
                </c:pt>
                <c:pt idx="187">
                  <c:v>2037</c:v>
                </c:pt>
                <c:pt idx="188">
                  <c:v>2038</c:v>
                </c:pt>
                <c:pt idx="189">
                  <c:v>2039</c:v>
                </c:pt>
                <c:pt idx="190">
                  <c:v>2040</c:v>
                </c:pt>
                <c:pt idx="191">
                  <c:v>2041</c:v>
                </c:pt>
                <c:pt idx="192">
                  <c:v>2042</c:v>
                </c:pt>
                <c:pt idx="193">
                  <c:v>2043</c:v>
                </c:pt>
                <c:pt idx="194">
                  <c:v>2044</c:v>
                </c:pt>
                <c:pt idx="195">
                  <c:v>2045</c:v>
                </c:pt>
                <c:pt idx="196">
                  <c:v>2046</c:v>
                </c:pt>
                <c:pt idx="197">
                  <c:v>2047</c:v>
                </c:pt>
                <c:pt idx="198">
                  <c:v>2048</c:v>
                </c:pt>
                <c:pt idx="199">
                  <c:v>2049</c:v>
                </c:pt>
                <c:pt idx="200">
                  <c:v>2050</c:v>
                </c:pt>
                <c:pt idx="201">
                  <c:v>2051</c:v>
                </c:pt>
                <c:pt idx="202">
                  <c:v>2052</c:v>
                </c:pt>
                <c:pt idx="203">
                  <c:v>2053</c:v>
                </c:pt>
                <c:pt idx="204">
                  <c:v>2054</c:v>
                </c:pt>
                <c:pt idx="205">
                  <c:v>2055</c:v>
                </c:pt>
                <c:pt idx="206">
                  <c:v>2056</c:v>
                </c:pt>
                <c:pt idx="207">
                  <c:v>2057</c:v>
                </c:pt>
                <c:pt idx="208">
                  <c:v>2058</c:v>
                </c:pt>
                <c:pt idx="209">
                  <c:v>2059</c:v>
                </c:pt>
                <c:pt idx="210">
                  <c:v>2060</c:v>
                </c:pt>
                <c:pt idx="211">
                  <c:v>2061</c:v>
                </c:pt>
                <c:pt idx="212">
                  <c:v>2062</c:v>
                </c:pt>
                <c:pt idx="213">
                  <c:v>2063</c:v>
                </c:pt>
                <c:pt idx="214">
                  <c:v>2064</c:v>
                </c:pt>
                <c:pt idx="215">
                  <c:v>2065</c:v>
                </c:pt>
                <c:pt idx="216">
                  <c:v>2066</c:v>
                </c:pt>
                <c:pt idx="217">
                  <c:v>2067</c:v>
                </c:pt>
                <c:pt idx="218">
                  <c:v>2068</c:v>
                </c:pt>
                <c:pt idx="219">
                  <c:v>2069</c:v>
                </c:pt>
                <c:pt idx="220">
                  <c:v>2070</c:v>
                </c:pt>
                <c:pt idx="221">
                  <c:v>2071</c:v>
                </c:pt>
                <c:pt idx="222">
                  <c:v>2072</c:v>
                </c:pt>
                <c:pt idx="223">
                  <c:v>2073</c:v>
                </c:pt>
                <c:pt idx="224">
                  <c:v>2074</c:v>
                </c:pt>
                <c:pt idx="225">
                  <c:v>2075</c:v>
                </c:pt>
                <c:pt idx="226">
                  <c:v>2076</c:v>
                </c:pt>
                <c:pt idx="227">
                  <c:v>2077</c:v>
                </c:pt>
                <c:pt idx="228">
                  <c:v>2078</c:v>
                </c:pt>
                <c:pt idx="229">
                  <c:v>2079</c:v>
                </c:pt>
                <c:pt idx="230">
                  <c:v>2080</c:v>
                </c:pt>
                <c:pt idx="231">
                  <c:v>2081</c:v>
                </c:pt>
                <c:pt idx="232">
                  <c:v>2082</c:v>
                </c:pt>
                <c:pt idx="233">
                  <c:v>2083</c:v>
                </c:pt>
                <c:pt idx="234">
                  <c:v>2084</c:v>
                </c:pt>
                <c:pt idx="235">
                  <c:v>2085</c:v>
                </c:pt>
                <c:pt idx="236">
                  <c:v>2086</c:v>
                </c:pt>
                <c:pt idx="237">
                  <c:v>2087</c:v>
                </c:pt>
                <c:pt idx="238">
                  <c:v>2088</c:v>
                </c:pt>
                <c:pt idx="239">
                  <c:v>2089</c:v>
                </c:pt>
                <c:pt idx="240">
                  <c:v>2090</c:v>
                </c:pt>
                <c:pt idx="241">
                  <c:v>2091</c:v>
                </c:pt>
                <c:pt idx="242">
                  <c:v>2092</c:v>
                </c:pt>
                <c:pt idx="243">
                  <c:v>2093</c:v>
                </c:pt>
                <c:pt idx="244">
                  <c:v>2094</c:v>
                </c:pt>
                <c:pt idx="245">
                  <c:v>2095</c:v>
                </c:pt>
                <c:pt idx="246">
                  <c:v>2096</c:v>
                </c:pt>
                <c:pt idx="247">
                  <c:v>2097</c:v>
                </c:pt>
                <c:pt idx="248">
                  <c:v>2098</c:v>
                </c:pt>
                <c:pt idx="249">
                  <c:v>2099</c:v>
                </c:pt>
                <c:pt idx="250">
                  <c:v>2100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Sheet1!$G$2:$G$252</c15:sqref>
                  </c15:fullRef>
                </c:ext>
              </c:extLst>
              <c:f>Sheet1!$G$3:$G$252</c:f>
              <c:numCache>
                <c:formatCode>General</c:formatCode>
                <c:ptCount val="250"/>
                <c:pt idx="0">
                  <c:v>52.852344171439</c:v>
                </c:pt>
                <c:pt idx="1">
                  <c:v>52.9934744031856</c:v>
                </c:pt>
                <c:pt idx="2">
                  <c:v>53.08756122435</c:v>
                </c:pt>
                <c:pt idx="3">
                  <c:v>53.557995330172</c:v>
                </c:pt>
                <c:pt idx="4">
                  <c:v>53.6520821513364</c:v>
                </c:pt>
                <c:pt idx="5">
                  <c:v>53.8872992042474</c:v>
                </c:pt>
                <c:pt idx="6">
                  <c:v>53.9343426148296</c:v>
                </c:pt>
                <c:pt idx="7">
                  <c:v>53.9813860254118</c:v>
                </c:pt>
                <c:pt idx="8">
                  <c:v>54.2166030783228</c:v>
                </c:pt>
                <c:pt idx="9">
                  <c:v>54.5929503629805</c:v>
                </c:pt>
                <c:pt idx="10">
                  <c:v>54.7811240053093</c:v>
                </c:pt>
                <c:pt idx="11">
                  <c:v>54.8752108264737</c:v>
                </c:pt>
                <c:pt idx="12">
                  <c:v>55.2045147005491</c:v>
                </c:pt>
                <c:pt idx="13">
                  <c:v>55.5808619852067</c:v>
                </c:pt>
                <c:pt idx="14">
                  <c:v>55.9101658592821</c:v>
                </c:pt>
                <c:pt idx="15">
                  <c:v>56.0512960910288</c:v>
                </c:pt>
                <c:pt idx="16">
                  <c:v>56.4276433756864</c:v>
                </c:pt>
                <c:pt idx="17">
                  <c:v>56.6628604285974</c:v>
                </c:pt>
                <c:pt idx="18">
                  <c:v>56.9921643026728</c:v>
                </c:pt>
                <c:pt idx="19">
                  <c:v>57.2273813555838</c:v>
                </c:pt>
                <c:pt idx="20">
                  <c:v>57.6507720508236</c:v>
                </c:pt>
                <c:pt idx="21">
                  <c:v>58.4505100307211</c:v>
                </c:pt>
                <c:pt idx="22">
                  <c:v>58.9679875471253</c:v>
                </c:pt>
                <c:pt idx="23">
                  <c:v>58.4975534413033</c:v>
                </c:pt>
                <c:pt idx="24">
                  <c:v>59.1561611894541</c:v>
                </c:pt>
                <c:pt idx="25">
                  <c:v>59.2972914212007</c:v>
                </c:pt>
                <c:pt idx="26">
                  <c:v>59.4384216529474</c:v>
                </c:pt>
                <c:pt idx="27">
                  <c:v>59.5325084741118</c:v>
                </c:pt>
                <c:pt idx="28">
                  <c:v>60.1911162222626</c:v>
                </c:pt>
                <c:pt idx="29">
                  <c:v>61.4142448973999</c:v>
                </c:pt>
                <c:pt idx="30">
                  <c:v>61.7435487714753</c:v>
                </c:pt>
                <c:pt idx="31">
                  <c:v>62.3551131090439</c:v>
                </c:pt>
                <c:pt idx="32">
                  <c:v>63.1078076783592</c:v>
                </c:pt>
                <c:pt idx="33">
                  <c:v>63.2489379101058</c:v>
                </c:pt>
                <c:pt idx="34">
                  <c:v>63.3430247312702</c:v>
                </c:pt>
                <c:pt idx="35">
                  <c:v>63.531198373599</c:v>
                </c:pt>
                <c:pt idx="36">
                  <c:v>64.1898061217498</c:v>
                </c:pt>
                <c:pt idx="37">
                  <c:v>65.6951952603803</c:v>
                </c:pt>
                <c:pt idx="38">
                  <c:v>65.6951952603803</c:v>
                </c:pt>
                <c:pt idx="39">
                  <c:v>67.0594541672642</c:v>
                </c:pt>
                <c:pt idx="40">
                  <c:v>67.8121487365795</c:v>
                </c:pt>
                <c:pt idx="41">
                  <c:v>67.9062355577439</c:v>
                </c:pt>
                <c:pt idx="42">
                  <c:v>67.718061915415</c:v>
                </c:pt>
                <c:pt idx="43">
                  <c:v>68.3296262529837</c:v>
                </c:pt>
                <c:pt idx="44">
                  <c:v>69.4116246963744</c:v>
                </c:pt>
                <c:pt idx="45">
                  <c:v>70.023189033943</c:v>
                </c:pt>
                <c:pt idx="46">
                  <c:v>71.0111006561692</c:v>
                </c:pt>
                <c:pt idx="47">
                  <c:v>72.1871859207243</c:v>
                </c:pt>
                <c:pt idx="48">
                  <c:v>74.1630091651768</c:v>
                </c:pt>
                <c:pt idx="49">
                  <c:v>75.4331812508963</c:v>
                </c:pt>
                <c:pt idx="50">
                  <c:v>76.279962641376</c:v>
                </c:pt>
                <c:pt idx="51">
                  <c:v>76.9385703895268</c:v>
                </c:pt>
                <c:pt idx="52">
                  <c:v>79.3377843292191</c:v>
                </c:pt>
                <c:pt idx="53">
                  <c:v>79.6670882032946</c:v>
                </c:pt>
                <c:pt idx="54">
                  <c:v>81.5017812160005</c:v>
                </c:pt>
                <c:pt idx="55">
                  <c:v>83.5716912816174</c:v>
                </c:pt>
                <c:pt idx="56">
                  <c:v>87.194033896447</c:v>
                </c:pt>
                <c:pt idx="57">
                  <c:v>85.5945579366521</c:v>
                </c:pt>
                <c:pt idx="58">
                  <c:v>87.2410773070292</c:v>
                </c:pt>
                <c:pt idx="59">
                  <c:v>88.8405532668241</c:v>
                </c:pt>
                <c:pt idx="60">
                  <c:v>89.6402912467216</c:v>
                </c:pt>
                <c:pt idx="61">
                  <c:v>91.6631579017563</c:v>
                </c:pt>
                <c:pt idx="62">
                  <c:v>94.6739361790173</c:v>
                </c:pt>
                <c:pt idx="63">
                  <c:v>90.2988989948724</c:v>
                </c:pt>
                <c:pt idx="64">
                  <c:v>89.734378067886</c:v>
                </c:pt>
                <c:pt idx="65">
                  <c:v>92.6981129345648</c:v>
                </c:pt>
                <c:pt idx="66">
                  <c:v>95.2384571060037</c:v>
                </c:pt>
                <c:pt idx="67">
                  <c:v>94.3446323049419</c:v>
                </c:pt>
                <c:pt idx="68">
                  <c:v>88.2289889292555</c:v>
                </c:pt>
                <c:pt idx="69">
                  <c:v>94.156458662613</c:v>
                </c:pt>
                <c:pt idx="70">
                  <c:v>88.0878586975089</c:v>
                </c:pt>
                <c:pt idx="71">
                  <c:v>90.0636819419614</c:v>
                </c:pt>
                <c:pt idx="72">
                  <c:v>95.9441082647368</c:v>
                </c:pt>
                <c:pt idx="73">
                  <c:v>95.6148043906613</c:v>
                </c:pt>
                <c:pt idx="74">
                  <c:v>96.1793253176478</c:v>
                </c:pt>
                <c:pt idx="75">
                  <c:v>96.5556726023054</c:v>
                </c:pt>
                <c:pt idx="76">
                  <c:v>100.272102038299</c:v>
                </c:pt>
                <c:pt idx="77">
                  <c:v>100.413232270046</c:v>
                </c:pt>
                <c:pt idx="78">
                  <c:v>104.176705116622</c:v>
                </c:pt>
                <c:pt idx="79">
                  <c:v>99.8487113430596</c:v>
                </c:pt>
                <c:pt idx="80">
                  <c:v>94.5328059472707</c:v>
                </c:pt>
                <c:pt idx="81">
                  <c:v>90.1577687631258</c:v>
                </c:pt>
                <c:pt idx="82">
                  <c:v>92.3217656499071</c:v>
                </c:pt>
                <c:pt idx="83">
                  <c:v>96.0852384964834</c:v>
                </c:pt>
                <c:pt idx="84">
                  <c:v>98.6255826679223</c:v>
                </c:pt>
                <c:pt idx="85">
                  <c:v>103.471053957889</c:v>
                </c:pt>
                <c:pt idx="86">
                  <c:v>107.187483393883</c:v>
                </c:pt>
                <c:pt idx="87">
                  <c:v>104.035574884876</c:v>
                </c:pt>
                <c:pt idx="88">
                  <c:v>106.387745413986</c:v>
                </c:pt>
                <c:pt idx="89">
                  <c:v>111.421390346281</c:v>
                </c:pt>
                <c:pt idx="90">
                  <c:v>113.067909716659</c:v>
                </c:pt>
                <c:pt idx="91">
                  <c:v>113.444257001316</c:v>
                </c:pt>
                <c:pt idx="92">
                  <c:v>115.749384119844</c:v>
                </c:pt>
                <c:pt idx="93">
                  <c:v>115.373036835186</c:v>
                </c:pt>
                <c:pt idx="94">
                  <c:v>104.882356275355</c:v>
                </c:pt>
                <c:pt idx="95">
                  <c:v>108.551742300767</c:v>
                </c:pt>
                <c:pt idx="96">
                  <c:v>115.796427530426</c:v>
                </c:pt>
                <c:pt idx="97">
                  <c:v>119.418770145256</c:v>
                </c:pt>
                <c:pt idx="98">
                  <c:v>117.066599616146</c:v>
                </c:pt>
                <c:pt idx="99">
                  <c:v>126.992759248991</c:v>
                </c:pt>
                <c:pt idx="100">
                  <c:v>133.437706498752</c:v>
                </c:pt>
                <c:pt idx="101">
                  <c:v>135.919140745054</c:v>
                </c:pt>
                <c:pt idx="102">
                  <c:v>139.247356381835</c:v>
                </c:pt>
                <c:pt idx="103">
                  <c:v>141.540616985808</c:v>
                </c:pt>
                <c:pt idx="104">
                  <c:v>151.031519408858</c:v>
                </c:pt>
                <c:pt idx="105">
                  <c:v>158.546598587455</c:v>
                </c:pt>
                <c:pt idx="106">
                  <c:v>164.0858545216</c:v>
                </c:pt>
                <c:pt idx="107">
                  <c:v>168.072677906533</c:v>
                </c:pt>
                <c:pt idx="108">
                  <c:v>175.041012083615</c:v>
                </c:pt>
                <c:pt idx="109">
                  <c:v>181.615136585783</c:v>
                </c:pt>
                <c:pt idx="110">
                  <c:v>183.313189970632</c:v>
                </c:pt>
                <c:pt idx="111">
                  <c:v>189.434612188902</c:v>
                </c:pt>
                <c:pt idx="112">
                  <c:v>197.543202337147</c:v>
                </c:pt>
                <c:pt idx="113">
                  <c:v>206.285944846246</c:v>
                </c:pt>
                <c:pt idx="114">
                  <c:v>213.829079063076</c:v>
                </c:pt>
                <c:pt idx="115">
                  <c:v>222.432494780847</c:v>
                </c:pt>
                <c:pt idx="116">
                  <c:v>228.545689414164</c:v>
                </c:pt>
                <c:pt idx="117">
                  <c:v>237.830035649477</c:v>
                </c:pt>
                <c:pt idx="118">
                  <c:v>249.047185919451</c:v>
                </c:pt>
                <c:pt idx="119">
                  <c:v>263.042901245845</c:v>
                </c:pt>
                <c:pt idx="120">
                  <c:v>281.670742554199</c:v>
                </c:pt>
                <c:pt idx="121">
                  <c:v>285.927650686778</c:v>
                </c:pt>
                <c:pt idx="122">
                  <c:v>290.248893747028</c:v>
                </c:pt>
                <c:pt idx="123">
                  <c:v>294.635444032868</c:v>
                </c:pt>
                <c:pt idx="124">
                  <c:v>299.088288536618</c:v>
                </c:pt>
                <c:pt idx="125">
                  <c:v>303.608429167077</c:v>
                </c:pt>
                <c:pt idx="126">
                  <c:v>308.196882974955</c:v>
                </c:pt>
                <c:pt idx="127">
                  <c:v>312.854682381719</c:v>
                </c:pt>
                <c:pt idx="128">
                  <c:v>317.582875411884</c:v>
                </c:pt>
                <c:pt idx="129">
                  <c:v>322.38252592883</c:v>
                </c:pt>
                <c:pt idx="130">
                  <c:v>327.254713874171</c:v>
                </c:pt>
                <c:pt idx="131">
                  <c:v>332.20053551075</c:v>
                </c:pt>
                <c:pt idx="132">
                  <c:v>337.2211036693</c:v>
                </c:pt>
                <c:pt idx="133">
                  <c:v>342.317547998839</c:v>
                </c:pt>
                <c:pt idx="134">
                  <c:v>347.49101522084</c:v>
                </c:pt>
                <c:pt idx="135">
                  <c:v>352.742669387254</c:v>
                </c:pt>
                <c:pt idx="136">
                  <c:v>358.073692142425</c:v>
                </c:pt>
                <c:pt idx="137">
                  <c:v>363.485282988962</c:v>
                </c:pt>
                <c:pt idx="138">
                  <c:v>368.978659557637</c:v>
                </c:pt>
                <c:pt idx="139">
                  <c:v>374.555057881353</c:v>
                </c:pt>
                <c:pt idx="140">
                  <c:v>380.215732673259</c:v>
                </c:pt>
                <c:pt idx="141">
                  <c:v>385.961957609062</c:v>
                </c:pt>
                <c:pt idx="142">
                  <c:v>391.795025613617</c:v>
                </c:pt>
                <c:pt idx="143">
                  <c:v>397.716249151833</c:v>
                </c:pt>
                <c:pt idx="144">
                  <c:v>403.726960523987</c:v>
                </c:pt>
                <c:pt idx="145">
                  <c:v>409.828512165493</c:v>
                </c:pt>
                <c:pt idx="146">
                  <c:v>416.022276951214</c:v>
                </c:pt>
                <c:pt idx="147">
                  <c:v>422.309648504357</c:v>
                </c:pt>
                <c:pt idx="148">
                  <c:v>428.692041510044</c:v>
                </c:pt>
                <c:pt idx="149">
                  <c:v>435.17089203363</c:v>
                </c:pt>
                <c:pt idx="150">
                  <c:v>441.747657843815</c:v>
                </c:pt>
                <c:pt idx="151">
                  <c:v>448.423818740651</c:v>
                </c:pt>
                <c:pt idx="152">
                  <c:v>455.200876888505</c:v>
                </c:pt>
                <c:pt idx="153">
                  <c:v>462.080357154053</c:v>
                </c:pt>
                <c:pt idx="154">
                  <c:v>466.512758672021</c:v>
                </c:pt>
                <c:pt idx="155">
                  <c:v>477.207408846149</c:v>
                </c:pt>
                <c:pt idx="156">
                  <c:v>487.480209246108</c:v>
                </c:pt>
                <c:pt idx="157">
                  <c:v>497.341350406078</c:v>
                </c:pt>
                <c:pt idx="158">
                  <c:v>506.800812930499</c:v>
                </c:pt>
                <c:pt idx="159">
                  <c:v>515.868371486182</c:v>
                </c:pt>
                <c:pt idx="160">
                  <c:v>534.007386374345</c:v>
                </c:pt>
                <c:pt idx="161">
                  <c:v>551.491947299479</c:v>
                </c:pt>
                <c:pt idx="162">
                  <c:v>568.337520770423</c:v>
                </c:pt>
                <c:pt idx="163">
                  <c:v>584.559257825946</c:v>
                </c:pt>
                <c:pt idx="164">
                  <c:v>603.087760931729</c:v>
                </c:pt>
                <c:pt idx="165">
                  <c:v>608.282113123267</c:v>
                </c:pt>
                <c:pt idx="166">
                  <c:v>613.478105046222</c:v>
                </c:pt>
                <c:pt idx="167">
                  <c:v>617.46068640304</c:v>
                </c:pt>
                <c:pt idx="168">
                  <c:v>620.06722168139</c:v>
                </c:pt>
                <c:pt idx="169">
                  <c:v>622.724726220765</c:v>
                </c:pt>
                <c:pt idx="170">
                  <c:v>641.025021233783</c:v>
                </c:pt>
                <c:pt idx="171">
                  <c:v>658.154728286561</c:v>
                </c:pt>
                <c:pt idx="172">
                  <c:v>673.300168292638</c:v>
                </c:pt>
                <c:pt idx="173">
                  <c:v>686.238531551503</c:v>
                </c:pt>
                <c:pt idx="174">
                  <c:v>697.271138269797</c:v>
                </c:pt>
                <c:pt idx="175">
                  <c:v>707.853681531733</c:v>
                </c:pt>
                <c:pt idx="176">
                  <c:v>715.554716041789</c:v>
                </c:pt>
                <c:pt idx="177">
                  <c:v>721.09946111768</c:v>
                </c:pt>
                <c:pt idx="178">
                  <c:v>726.576035532934</c:v>
                </c:pt>
                <c:pt idx="179">
                  <c:v>730.095565789341</c:v>
                </c:pt>
                <c:pt idx="180">
                  <c:v>744.666228559396</c:v>
                </c:pt>
                <c:pt idx="181">
                  <c:v>759.584335948993</c:v>
                </c:pt>
                <c:pt idx="182">
                  <c:v>771.778478732784</c:v>
                </c:pt>
                <c:pt idx="183">
                  <c:v>780.687556069877</c:v>
                </c:pt>
                <c:pt idx="184">
                  <c:v>790.274510288114</c:v>
                </c:pt>
                <c:pt idx="185">
                  <c:v>796.42224146223</c:v>
                </c:pt>
                <c:pt idx="186">
                  <c:v>800.368661088884</c:v>
                </c:pt>
                <c:pt idx="187">
                  <c:v>805.901052497664</c:v>
                </c:pt>
                <c:pt idx="188">
                  <c:v>807.6226527798</c:v>
                </c:pt>
                <c:pt idx="189">
                  <c:v>808.738575569898</c:v>
                </c:pt>
                <c:pt idx="190">
                  <c:v>838.713542883073</c:v>
                </c:pt>
                <c:pt idx="191">
                  <c:v>849.687849361572</c:v>
                </c:pt>
                <c:pt idx="192">
                  <c:v>861.055304457317</c:v>
                </c:pt>
                <c:pt idx="193">
                  <c:v>872.537003694685</c:v>
                </c:pt>
                <c:pt idx="194">
                  <c:v>879.926415025185</c:v>
                </c:pt>
                <c:pt idx="195">
                  <c:v>888.793010274391</c:v>
                </c:pt>
                <c:pt idx="196">
                  <c:v>895.726263876521</c:v>
                </c:pt>
                <c:pt idx="197">
                  <c:v>904.045877276396</c:v>
                </c:pt>
                <c:pt idx="198">
                  <c:v>908.602097913658</c:v>
                </c:pt>
                <c:pt idx="199">
                  <c:v>913.524201556093</c:v>
                </c:pt>
                <c:pt idx="200">
                  <c:v>920.364616201339</c:v>
                </c:pt>
                <c:pt idx="201">
                  <c:v>925.366580777647</c:v>
                </c:pt>
                <c:pt idx="202">
                  <c:v>940.873843708127</c:v>
                </c:pt>
                <c:pt idx="203">
                  <c:v>957.055507273028</c:v>
                </c:pt>
                <c:pt idx="204">
                  <c:v>972.911043441462</c:v>
                </c:pt>
                <c:pt idx="205">
                  <c:v>988.489728678914</c:v>
                </c:pt>
                <c:pt idx="206">
                  <c:v>1003.77757410428</c:v>
                </c:pt>
                <c:pt idx="207">
                  <c:v>1018.79331480882</c:v>
                </c:pt>
                <c:pt idx="208">
                  <c:v>1033.55882504314</c:v>
                </c:pt>
                <c:pt idx="209">
                  <c:v>1048.09186870679</c:v>
                </c:pt>
                <c:pt idx="210">
                  <c:v>1065.32468058652</c:v>
                </c:pt>
                <c:pt idx="211">
                  <c:v>1082.28356663136</c:v>
                </c:pt>
                <c:pt idx="212">
                  <c:v>1098.985527205</c:v>
                </c:pt>
                <c:pt idx="213">
                  <c:v>1115.4245038751</c:v>
                </c:pt>
                <c:pt idx="214">
                  <c:v>1131.61089990667</c:v>
                </c:pt>
                <c:pt idx="215">
                  <c:v>1147.54619652225</c:v>
                </c:pt>
                <c:pt idx="216">
                  <c:v>1163.22493810865</c:v>
                </c:pt>
                <c:pt idx="217">
                  <c:v>1178.63638634745</c:v>
                </c:pt>
                <c:pt idx="218">
                  <c:v>1193.76442471203</c:v>
                </c:pt>
                <c:pt idx="219">
                  <c:v>1208.64682680529</c:v>
                </c:pt>
                <c:pt idx="220">
                  <c:v>1224.46570702609</c:v>
                </c:pt>
                <c:pt idx="221">
                  <c:v>1239.90865492322</c:v>
                </c:pt>
                <c:pt idx="222">
                  <c:v>1254.8859317406</c:v>
                </c:pt>
                <c:pt idx="223">
                  <c:v>1269.37107480308</c:v>
                </c:pt>
                <c:pt idx="224">
                  <c:v>1283.32839260582</c:v>
                </c:pt>
                <c:pt idx="225">
                  <c:v>1296.72227053027</c:v>
                </c:pt>
                <c:pt idx="226">
                  <c:v>1309.51802484422</c:v>
                </c:pt>
                <c:pt idx="227">
                  <c:v>1321.68438572847</c:v>
                </c:pt>
                <c:pt idx="228">
                  <c:v>1333.19514153628</c:v>
                </c:pt>
                <c:pt idx="229">
                  <c:v>1344.03016504061</c:v>
                </c:pt>
                <c:pt idx="230">
                  <c:v>1355.40455803435</c:v>
                </c:pt>
                <c:pt idx="231">
                  <c:v>1365.94471532255</c:v>
                </c:pt>
                <c:pt idx="232">
                  <c:v>1375.73403523159</c:v>
                </c:pt>
                <c:pt idx="233">
                  <c:v>1384.81702210475</c:v>
                </c:pt>
                <c:pt idx="234">
                  <c:v>1393.20806904991</c:v>
                </c:pt>
                <c:pt idx="235">
                  <c:v>1400.91846227662</c:v>
                </c:pt>
                <c:pt idx="236">
                  <c:v>1407.96784776619</c:v>
                </c:pt>
                <c:pt idx="237">
                  <c:v>1414.51026904065</c:v>
                </c:pt>
                <c:pt idx="238">
                  <c:v>1420.32121886616</c:v>
                </c:pt>
                <c:pt idx="239">
                  <c:v>1425.49722065454</c:v>
                </c:pt>
                <c:pt idx="240">
                  <c:v>1431.26501780095</c:v>
                </c:pt>
                <c:pt idx="241">
                  <c:v>1436.47622017524</c:v>
                </c:pt>
                <c:pt idx="242">
                  <c:v>1441.13542081359</c:v>
                </c:pt>
                <c:pt idx="243">
                  <c:v>1445.35651898312</c:v>
                </c:pt>
                <c:pt idx="244">
                  <c:v>1449.1831305681</c:v>
                </c:pt>
                <c:pt idx="245">
                  <c:v>1452.53856085717</c:v>
                </c:pt>
                <c:pt idx="246">
                  <c:v>1455.38466675573</c:v>
                </c:pt>
                <c:pt idx="247">
                  <c:v>1458.04332003664</c:v>
                </c:pt>
                <c:pt idx="248">
                  <c:v>1460.38536624735</c:v>
                </c:pt>
                <c:pt idx="249">
                  <c:v>1462.2172785743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energy_MYadjusted18502100_total_plus_B3B_plus_ACE3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Sheet1!$A:$A</c15:sqref>
                  </c15:fullRef>
                </c:ext>
              </c:extLst>
              <c:f>Sheet1!$A$2:$A$1048576</c:f>
              <c:numCache>
                <c:formatCode>General</c:formatCode>
                <c:ptCount val="10485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  <c:pt idx="175">
                  <c:v>2025</c:v>
                </c:pt>
                <c:pt idx="176">
                  <c:v>2026</c:v>
                </c:pt>
                <c:pt idx="177">
                  <c:v>2027</c:v>
                </c:pt>
                <c:pt idx="178">
                  <c:v>2028</c:v>
                </c:pt>
                <c:pt idx="179">
                  <c:v>2029</c:v>
                </c:pt>
                <c:pt idx="180">
                  <c:v>2030</c:v>
                </c:pt>
                <c:pt idx="181">
                  <c:v>2031</c:v>
                </c:pt>
                <c:pt idx="182">
                  <c:v>2032</c:v>
                </c:pt>
                <c:pt idx="183">
                  <c:v>2033</c:v>
                </c:pt>
                <c:pt idx="184">
                  <c:v>2034</c:v>
                </c:pt>
                <c:pt idx="185">
                  <c:v>2035</c:v>
                </c:pt>
                <c:pt idx="186">
                  <c:v>2036</c:v>
                </c:pt>
                <c:pt idx="187">
                  <c:v>2037</c:v>
                </c:pt>
                <c:pt idx="188">
                  <c:v>2038</c:v>
                </c:pt>
                <c:pt idx="189">
                  <c:v>2039</c:v>
                </c:pt>
                <c:pt idx="190">
                  <c:v>2040</c:v>
                </c:pt>
                <c:pt idx="191">
                  <c:v>2041</c:v>
                </c:pt>
                <c:pt idx="192">
                  <c:v>2042</c:v>
                </c:pt>
                <c:pt idx="193">
                  <c:v>2043</c:v>
                </c:pt>
                <c:pt idx="194">
                  <c:v>2044</c:v>
                </c:pt>
                <c:pt idx="195">
                  <c:v>2045</c:v>
                </c:pt>
                <c:pt idx="196">
                  <c:v>2046</c:v>
                </c:pt>
                <c:pt idx="197">
                  <c:v>2047</c:v>
                </c:pt>
                <c:pt idx="198">
                  <c:v>2048</c:v>
                </c:pt>
                <c:pt idx="199">
                  <c:v>2049</c:v>
                </c:pt>
                <c:pt idx="200">
                  <c:v>2050</c:v>
                </c:pt>
                <c:pt idx="201">
                  <c:v>2051</c:v>
                </c:pt>
                <c:pt idx="202">
                  <c:v>2052</c:v>
                </c:pt>
                <c:pt idx="203">
                  <c:v>2053</c:v>
                </c:pt>
                <c:pt idx="204">
                  <c:v>2054</c:v>
                </c:pt>
                <c:pt idx="205">
                  <c:v>2055</c:v>
                </c:pt>
                <c:pt idx="206">
                  <c:v>2056</c:v>
                </c:pt>
                <c:pt idx="207">
                  <c:v>2057</c:v>
                </c:pt>
                <c:pt idx="208">
                  <c:v>2058</c:v>
                </c:pt>
                <c:pt idx="209">
                  <c:v>2059</c:v>
                </c:pt>
                <c:pt idx="210">
                  <c:v>2060</c:v>
                </c:pt>
                <c:pt idx="211">
                  <c:v>2061</c:v>
                </c:pt>
                <c:pt idx="212">
                  <c:v>2062</c:v>
                </c:pt>
                <c:pt idx="213">
                  <c:v>2063</c:v>
                </c:pt>
                <c:pt idx="214">
                  <c:v>2064</c:v>
                </c:pt>
                <c:pt idx="215">
                  <c:v>2065</c:v>
                </c:pt>
                <c:pt idx="216">
                  <c:v>2066</c:v>
                </c:pt>
                <c:pt idx="217">
                  <c:v>2067</c:v>
                </c:pt>
                <c:pt idx="218">
                  <c:v>2068</c:v>
                </c:pt>
                <c:pt idx="219">
                  <c:v>2069</c:v>
                </c:pt>
                <c:pt idx="220">
                  <c:v>2070</c:v>
                </c:pt>
                <c:pt idx="221">
                  <c:v>2071</c:v>
                </c:pt>
                <c:pt idx="222">
                  <c:v>2072</c:v>
                </c:pt>
                <c:pt idx="223">
                  <c:v>2073</c:v>
                </c:pt>
                <c:pt idx="224">
                  <c:v>2074</c:v>
                </c:pt>
                <c:pt idx="225">
                  <c:v>2075</c:v>
                </c:pt>
                <c:pt idx="226">
                  <c:v>2076</c:v>
                </c:pt>
                <c:pt idx="227">
                  <c:v>2077</c:v>
                </c:pt>
                <c:pt idx="228">
                  <c:v>2078</c:v>
                </c:pt>
                <c:pt idx="229">
                  <c:v>2079</c:v>
                </c:pt>
                <c:pt idx="230">
                  <c:v>2080</c:v>
                </c:pt>
                <c:pt idx="231">
                  <c:v>2081</c:v>
                </c:pt>
                <c:pt idx="232">
                  <c:v>2082</c:v>
                </c:pt>
                <c:pt idx="233">
                  <c:v>2083</c:v>
                </c:pt>
                <c:pt idx="234">
                  <c:v>2084</c:v>
                </c:pt>
                <c:pt idx="235">
                  <c:v>2085</c:v>
                </c:pt>
                <c:pt idx="236">
                  <c:v>2086</c:v>
                </c:pt>
                <c:pt idx="237">
                  <c:v>2087</c:v>
                </c:pt>
                <c:pt idx="238">
                  <c:v>2088</c:v>
                </c:pt>
                <c:pt idx="239">
                  <c:v>2089</c:v>
                </c:pt>
                <c:pt idx="240">
                  <c:v>2090</c:v>
                </c:pt>
                <c:pt idx="241">
                  <c:v>2091</c:v>
                </c:pt>
                <c:pt idx="242">
                  <c:v>2092</c:v>
                </c:pt>
                <c:pt idx="243">
                  <c:v>2093</c:v>
                </c:pt>
                <c:pt idx="244">
                  <c:v>2094</c:v>
                </c:pt>
                <c:pt idx="245">
                  <c:v>2095</c:v>
                </c:pt>
                <c:pt idx="246">
                  <c:v>2096</c:v>
                </c:pt>
                <c:pt idx="247">
                  <c:v>2097</c:v>
                </c:pt>
                <c:pt idx="248">
                  <c:v>2098</c:v>
                </c:pt>
                <c:pt idx="249">
                  <c:v>2099</c:v>
                </c:pt>
                <c:pt idx="250">
                  <c:v>2100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Sheet1!$L$2:$L$252</c15:sqref>
                  </c15:fullRef>
                </c:ext>
              </c:extLst>
              <c:f>Sheet1!$L$3:$L$252</c:f>
              <c:numCache>
                <c:formatCode>General</c:formatCode>
                <c:ptCount val="250"/>
                <c:pt idx="0">
                  <c:v>52.852344171439</c:v>
                </c:pt>
                <c:pt idx="1">
                  <c:v>52.9934744031856</c:v>
                </c:pt>
                <c:pt idx="2">
                  <c:v>53.08756122435</c:v>
                </c:pt>
                <c:pt idx="3">
                  <c:v>53.557995330172</c:v>
                </c:pt>
                <c:pt idx="4">
                  <c:v>53.6520821513364</c:v>
                </c:pt>
                <c:pt idx="5">
                  <c:v>53.8872992042474</c:v>
                </c:pt>
                <c:pt idx="6">
                  <c:v>53.9343426148296</c:v>
                </c:pt>
                <c:pt idx="7">
                  <c:v>53.9813860254118</c:v>
                </c:pt>
                <c:pt idx="8">
                  <c:v>54.2166030783228</c:v>
                </c:pt>
                <c:pt idx="9">
                  <c:v>54.5929503629805</c:v>
                </c:pt>
                <c:pt idx="10">
                  <c:v>54.7811240053093</c:v>
                </c:pt>
                <c:pt idx="11">
                  <c:v>54.8752108264737</c:v>
                </c:pt>
                <c:pt idx="12">
                  <c:v>55.2045147005491</c:v>
                </c:pt>
                <c:pt idx="13">
                  <c:v>55.5808619852067</c:v>
                </c:pt>
                <c:pt idx="14">
                  <c:v>55.9101658592821</c:v>
                </c:pt>
                <c:pt idx="15">
                  <c:v>56.0512960910288</c:v>
                </c:pt>
                <c:pt idx="16">
                  <c:v>56.4276433756864</c:v>
                </c:pt>
                <c:pt idx="17">
                  <c:v>56.6628604285974</c:v>
                </c:pt>
                <c:pt idx="18">
                  <c:v>56.9921643026728</c:v>
                </c:pt>
                <c:pt idx="19">
                  <c:v>57.2273813555838</c:v>
                </c:pt>
                <c:pt idx="20">
                  <c:v>57.6507720508236</c:v>
                </c:pt>
                <c:pt idx="21">
                  <c:v>58.4505100307211</c:v>
                </c:pt>
                <c:pt idx="22">
                  <c:v>58.9679875471253</c:v>
                </c:pt>
                <c:pt idx="23">
                  <c:v>58.4975534413033</c:v>
                </c:pt>
                <c:pt idx="24">
                  <c:v>59.1561611894541</c:v>
                </c:pt>
                <c:pt idx="25">
                  <c:v>59.2972914212007</c:v>
                </c:pt>
                <c:pt idx="26">
                  <c:v>59.4384216529474</c:v>
                </c:pt>
                <c:pt idx="27">
                  <c:v>59.5325084741118</c:v>
                </c:pt>
                <c:pt idx="28">
                  <c:v>60.1911162222626</c:v>
                </c:pt>
                <c:pt idx="29">
                  <c:v>61.4142448973999</c:v>
                </c:pt>
                <c:pt idx="30">
                  <c:v>61.7435487714753</c:v>
                </c:pt>
                <c:pt idx="31">
                  <c:v>62.3551131090439</c:v>
                </c:pt>
                <c:pt idx="32">
                  <c:v>63.1078076783592</c:v>
                </c:pt>
                <c:pt idx="33">
                  <c:v>63.2489379101058</c:v>
                </c:pt>
                <c:pt idx="34">
                  <c:v>63.3430247312702</c:v>
                </c:pt>
                <c:pt idx="35">
                  <c:v>63.531198373599</c:v>
                </c:pt>
                <c:pt idx="36">
                  <c:v>64.1898061217498</c:v>
                </c:pt>
                <c:pt idx="37">
                  <c:v>65.6951952603803</c:v>
                </c:pt>
                <c:pt idx="38">
                  <c:v>65.6951952603803</c:v>
                </c:pt>
                <c:pt idx="39">
                  <c:v>67.0594541672642</c:v>
                </c:pt>
                <c:pt idx="40">
                  <c:v>67.8121487365795</c:v>
                </c:pt>
                <c:pt idx="41">
                  <c:v>67.9062355577439</c:v>
                </c:pt>
                <c:pt idx="42">
                  <c:v>67.718061915415</c:v>
                </c:pt>
                <c:pt idx="43">
                  <c:v>68.3296262529837</c:v>
                </c:pt>
                <c:pt idx="44">
                  <c:v>69.4116246963744</c:v>
                </c:pt>
                <c:pt idx="45">
                  <c:v>70.023189033943</c:v>
                </c:pt>
                <c:pt idx="46">
                  <c:v>71.0111006561692</c:v>
                </c:pt>
                <c:pt idx="47">
                  <c:v>72.1871859207243</c:v>
                </c:pt>
                <c:pt idx="48">
                  <c:v>74.1630091651768</c:v>
                </c:pt>
                <c:pt idx="49">
                  <c:v>75.4331812508963</c:v>
                </c:pt>
                <c:pt idx="50">
                  <c:v>76.279962641376</c:v>
                </c:pt>
                <c:pt idx="51">
                  <c:v>76.9385703895268</c:v>
                </c:pt>
                <c:pt idx="52">
                  <c:v>79.3377843292191</c:v>
                </c:pt>
                <c:pt idx="53">
                  <c:v>79.6670882032946</c:v>
                </c:pt>
                <c:pt idx="54">
                  <c:v>81.5017812160005</c:v>
                </c:pt>
                <c:pt idx="55">
                  <c:v>83.5716912816174</c:v>
                </c:pt>
                <c:pt idx="56">
                  <c:v>87.194033896447</c:v>
                </c:pt>
                <c:pt idx="57">
                  <c:v>85.5945579366521</c:v>
                </c:pt>
                <c:pt idx="58">
                  <c:v>87.2410773070292</c:v>
                </c:pt>
                <c:pt idx="59">
                  <c:v>88.8405532668241</c:v>
                </c:pt>
                <c:pt idx="60">
                  <c:v>89.6402912467216</c:v>
                </c:pt>
                <c:pt idx="61">
                  <c:v>91.6631579017563</c:v>
                </c:pt>
                <c:pt idx="62">
                  <c:v>94.6739361790173</c:v>
                </c:pt>
                <c:pt idx="63">
                  <c:v>90.2988989948724</c:v>
                </c:pt>
                <c:pt idx="64">
                  <c:v>89.734378067886</c:v>
                </c:pt>
                <c:pt idx="65">
                  <c:v>92.6981129345648</c:v>
                </c:pt>
                <c:pt idx="66">
                  <c:v>95.2384571060037</c:v>
                </c:pt>
                <c:pt idx="67">
                  <c:v>94.3446323049419</c:v>
                </c:pt>
                <c:pt idx="68">
                  <c:v>88.2289889292555</c:v>
                </c:pt>
                <c:pt idx="69">
                  <c:v>94.156458662613</c:v>
                </c:pt>
                <c:pt idx="70">
                  <c:v>88.0878586975089</c:v>
                </c:pt>
                <c:pt idx="71">
                  <c:v>90.0636819419614</c:v>
                </c:pt>
                <c:pt idx="72">
                  <c:v>95.9441082647368</c:v>
                </c:pt>
                <c:pt idx="73">
                  <c:v>95.6148043906613</c:v>
                </c:pt>
                <c:pt idx="74">
                  <c:v>96.1793253176478</c:v>
                </c:pt>
                <c:pt idx="75">
                  <c:v>96.5556726023054</c:v>
                </c:pt>
                <c:pt idx="76">
                  <c:v>100.272102038299</c:v>
                </c:pt>
                <c:pt idx="77">
                  <c:v>100.413232270046</c:v>
                </c:pt>
                <c:pt idx="78">
                  <c:v>104.176705116622</c:v>
                </c:pt>
                <c:pt idx="79">
                  <c:v>99.8487113430596</c:v>
                </c:pt>
                <c:pt idx="80">
                  <c:v>94.5328059472707</c:v>
                </c:pt>
                <c:pt idx="81">
                  <c:v>90.1577687631258</c:v>
                </c:pt>
                <c:pt idx="82">
                  <c:v>92.3217656499071</c:v>
                </c:pt>
                <c:pt idx="83">
                  <c:v>96.0852384964834</c:v>
                </c:pt>
                <c:pt idx="84">
                  <c:v>98.6255826679223</c:v>
                </c:pt>
                <c:pt idx="85">
                  <c:v>103.471053957889</c:v>
                </c:pt>
                <c:pt idx="86">
                  <c:v>107.187483393883</c:v>
                </c:pt>
                <c:pt idx="87">
                  <c:v>104.035574884876</c:v>
                </c:pt>
                <c:pt idx="88">
                  <c:v>106.387745413986</c:v>
                </c:pt>
                <c:pt idx="89">
                  <c:v>111.421390346281</c:v>
                </c:pt>
                <c:pt idx="90">
                  <c:v>113.067909716659</c:v>
                </c:pt>
                <c:pt idx="91">
                  <c:v>113.444257001316</c:v>
                </c:pt>
                <c:pt idx="92">
                  <c:v>115.749384119844</c:v>
                </c:pt>
                <c:pt idx="93">
                  <c:v>115.373036835186</c:v>
                </c:pt>
                <c:pt idx="94">
                  <c:v>104.882356275355</c:v>
                </c:pt>
                <c:pt idx="95">
                  <c:v>108.551742300767</c:v>
                </c:pt>
                <c:pt idx="96">
                  <c:v>115.796427530426</c:v>
                </c:pt>
                <c:pt idx="97">
                  <c:v>119.418770145256</c:v>
                </c:pt>
                <c:pt idx="98">
                  <c:v>117.066599616146</c:v>
                </c:pt>
                <c:pt idx="99">
                  <c:v>126.992759248991</c:v>
                </c:pt>
                <c:pt idx="100">
                  <c:v>133.437706498752</c:v>
                </c:pt>
                <c:pt idx="101">
                  <c:v>135.919140745054</c:v>
                </c:pt>
                <c:pt idx="102">
                  <c:v>139.247356381835</c:v>
                </c:pt>
                <c:pt idx="103">
                  <c:v>141.540616985808</c:v>
                </c:pt>
                <c:pt idx="104">
                  <c:v>151.031519408858</c:v>
                </c:pt>
                <c:pt idx="105">
                  <c:v>158.546598587455</c:v>
                </c:pt>
                <c:pt idx="106">
                  <c:v>164.0858545216</c:v>
                </c:pt>
                <c:pt idx="107">
                  <c:v>168.072677906533</c:v>
                </c:pt>
                <c:pt idx="108">
                  <c:v>175.041012083615</c:v>
                </c:pt>
                <c:pt idx="109">
                  <c:v>181.615136585783</c:v>
                </c:pt>
                <c:pt idx="110">
                  <c:v>183.313189970632</c:v>
                </c:pt>
                <c:pt idx="111">
                  <c:v>189.434612188902</c:v>
                </c:pt>
                <c:pt idx="112">
                  <c:v>197.543202337147</c:v>
                </c:pt>
                <c:pt idx="113">
                  <c:v>206.285944846246</c:v>
                </c:pt>
                <c:pt idx="114">
                  <c:v>213.829079063076</c:v>
                </c:pt>
                <c:pt idx="115">
                  <c:v>222.432494780847</c:v>
                </c:pt>
                <c:pt idx="116">
                  <c:v>228.545689414164</c:v>
                </c:pt>
                <c:pt idx="117">
                  <c:v>237.830035649477</c:v>
                </c:pt>
                <c:pt idx="118">
                  <c:v>249.047185919451</c:v>
                </c:pt>
                <c:pt idx="119">
                  <c:v>263.042901245845</c:v>
                </c:pt>
                <c:pt idx="120">
                  <c:v>281.670742554199</c:v>
                </c:pt>
                <c:pt idx="121">
                  <c:v>285.927650686778</c:v>
                </c:pt>
                <c:pt idx="122">
                  <c:v>290.248893747028</c:v>
                </c:pt>
                <c:pt idx="123">
                  <c:v>294.635444032868</c:v>
                </c:pt>
                <c:pt idx="124">
                  <c:v>299.088288536618</c:v>
                </c:pt>
                <c:pt idx="125">
                  <c:v>303.608429167077</c:v>
                </c:pt>
                <c:pt idx="126">
                  <c:v>308.196882974955</c:v>
                </c:pt>
                <c:pt idx="127">
                  <c:v>312.854682381719</c:v>
                </c:pt>
                <c:pt idx="128">
                  <c:v>317.582875411884</c:v>
                </c:pt>
                <c:pt idx="129">
                  <c:v>322.38252592883</c:v>
                </c:pt>
                <c:pt idx="130">
                  <c:v>327.254713874171</c:v>
                </c:pt>
                <c:pt idx="131">
                  <c:v>332.20053551075</c:v>
                </c:pt>
                <c:pt idx="132">
                  <c:v>337.2211036693</c:v>
                </c:pt>
                <c:pt idx="133">
                  <c:v>342.317547998839</c:v>
                </c:pt>
                <c:pt idx="134">
                  <c:v>347.49101522084</c:v>
                </c:pt>
                <c:pt idx="135">
                  <c:v>352.742669387254</c:v>
                </c:pt>
                <c:pt idx="136">
                  <c:v>358.073692142425</c:v>
                </c:pt>
                <c:pt idx="137">
                  <c:v>363.485282988962</c:v>
                </c:pt>
                <c:pt idx="138">
                  <c:v>368.978659557637</c:v>
                </c:pt>
                <c:pt idx="139">
                  <c:v>374.555057881353</c:v>
                </c:pt>
                <c:pt idx="140">
                  <c:v>380.215732673259</c:v>
                </c:pt>
                <c:pt idx="141">
                  <c:v>385.961957609062</c:v>
                </c:pt>
                <c:pt idx="142">
                  <c:v>391.795025613617</c:v>
                </c:pt>
                <c:pt idx="143">
                  <c:v>397.716249151833</c:v>
                </c:pt>
                <c:pt idx="144">
                  <c:v>403.726960523987</c:v>
                </c:pt>
                <c:pt idx="145">
                  <c:v>409.828512165493</c:v>
                </c:pt>
                <c:pt idx="146">
                  <c:v>416.022276951214</c:v>
                </c:pt>
                <c:pt idx="147">
                  <c:v>422.309648504357</c:v>
                </c:pt>
                <c:pt idx="148">
                  <c:v>428.692041510044</c:v>
                </c:pt>
                <c:pt idx="149">
                  <c:v>435.17089203363</c:v>
                </c:pt>
                <c:pt idx="150">
                  <c:v>441.747657843815</c:v>
                </c:pt>
                <c:pt idx="151">
                  <c:v>448.423818740651</c:v>
                </c:pt>
                <c:pt idx="152">
                  <c:v>455.200876888505</c:v>
                </c:pt>
                <c:pt idx="153">
                  <c:v>462.080357154053</c:v>
                </c:pt>
                <c:pt idx="154">
                  <c:v>466.512758672021</c:v>
                </c:pt>
                <c:pt idx="155">
                  <c:v>477.207408846149</c:v>
                </c:pt>
                <c:pt idx="156">
                  <c:v>487.480209246108</c:v>
                </c:pt>
                <c:pt idx="157">
                  <c:v>497.341350406078</c:v>
                </c:pt>
                <c:pt idx="158">
                  <c:v>506.800812930499</c:v>
                </c:pt>
                <c:pt idx="159">
                  <c:v>515.868371486182</c:v>
                </c:pt>
                <c:pt idx="160">
                  <c:v>534.007386374345</c:v>
                </c:pt>
                <c:pt idx="161">
                  <c:v>551.491947299479</c:v>
                </c:pt>
                <c:pt idx="162">
                  <c:v>568.337520770423</c:v>
                </c:pt>
                <c:pt idx="163">
                  <c:v>584.559257825946</c:v>
                </c:pt>
                <c:pt idx="164">
                  <c:v>603.087760931729</c:v>
                </c:pt>
                <c:pt idx="165">
                  <c:v>608.282113123267</c:v>
                </c:pt>
                <c:pt idx="166">
                  <c:v>613.478105046222</c:v>
                </c:pt>
                <c:pt idx="167">
                  <c:v>617.399451745173</c:v>
                </c:pt>
                <c:pt idx="168">
                  <c:v>619.991309032843</c:v>
                </c:pt>
                <c:pt idx="169">
                  <c:v>622.298809537643</c:v>
                </c:pt>
                <c:pt idx="170">
                  <c:v>641.0641146549</c:v>
                </c:pt>
                <c:pt idx="171">
                  <c:v>657.654301446338</c:v>
                </c:pt>
                <c:pt idx="172">
                  <c:v>671.87019179779</c:v>
                </c:pt>
                <c:pt idx="173">
                  <c:v>685.334818726378</c:v>
                </c:pt>
                <c:pt idx="174">
                  <c:v>696.747590198362</c:v>
                </c:pt>
                <c:pt idx="175">
                  <c:v>705.824132490277</c:v>
                </c:pt>
                <c:pt idx="176">
                  <c:v>714.59243443873</c:v>
                </c:pt>
                <c:pt idx="177">
                  <c:v>721.055387673998</c:v>
                </c:pt>
                <c:pt idx="178">
                  <c:v>727.786947604695</c:v>
                </c:pt>
                <c:pt idx="179">
                  <c:v>732.548959538109</c:v>
                </c:pt>
                <c:pt idx="180">
                  <c:v>749.053034544016</c:v>
                </c:pt>
                <c:pt idx="181">
                  <c:v>764.068250724944</c:v>
                </c:pt>
                <c:pt idx="182">
                  <c:v>776.227471679377</c:v>
                </c:pt>
                <c:pt idx="183">
                  <c:v>787.576615228511</c:v>
                </c:pt>
                <c:pt idx="184">
                  <c:v>798.40955707908</c:v>
                </c:pt>
                <c:pt idx="185">
                  <c:v>805.908079473689</c:v>
                </c:pt>
                <c:pt idx="186">
                  <c:v>813.889912981707</c:v>
                </c:pt>
                <c:pt idx="187">
                  <c:v>819.824413314965</c:v>
                </c:pt>
                <c:pt idx="188">
                  <c:v>824.509343516719</c:v>
                </c:pt>
                <c:pt idx="189">
                  <c:v>828.056337735259</c:v>
                </c:pt>
                <c:pt idx="190">
                  <c:v>860.714735111973</c:v>
                </c:pt>
                <c:pt idx="191">
                  <c:v>875.830388449807</c:v>
                </c:pt>
                <c:pt idx="192">
                  <c:v>890.861797557079</c:v>
                </c:pt>
                <c:pt idx="193">
                  <c:v>903.840257392823</c:v>
                </c:pt>
                <c:pt idx="194">
                  <c:v>917.625068706316</c:v>
                </c:pt>
                <c:pt idx="195">
                  <c:v>928.516981865709</c:v>
                </c:pt>
                <c:pt idx="196">
                  <c:v>940.130831500452</c:v>
                </c:pt>
                <c:pt idx="197">
                  <c:v>950.918118694098</c:v>
                </c:pt>
                <c:pt idx="198">
                  <c:v>961.802753863194</c:v>
                </c:pt>
                <c:pt idx="199">
                  <c:v>971.44994867485</c:v>
                </c:pt>
                <c:pt idx="200">
                  <c:v>982.8503921114</c:v>
                </c:pt>
                <c:pt idx="201">
                  <c:v>993.554001874412</c:v>
                </c:pt>
                <c:pt idx="202">
                  <c:v>1003.59284163347</c:v>
                </c:pt>
                <c:pt idx="203">
                  <c:v>1012.99014720731</c:v>
                </c:pt>
                <c:pt idx="204">
                  <c:v>1021.76699296437</c:v>
                </c:pt>
                <c:pt idx="205">
                  <c:v>1029.94824666054</c:v>
                </c:pt>
                <c:pt idx="206">
                  <c:v>1037.57691456719</c:v>
                </c:pt>
                <c:pt idx="207">
                  <c:v>1044.67136972492</c:v>
                </c:pt>
                <c:pt idx="208">
                  <c:v>1051.24505643078</c:v>
                </c:pt>
                <c:pt idx="209">
                  <c:v>1057.31912839147</c:v>
                </c:pt>
                <c:pt idx="210">
                  <c:v>1065.86953079565</c:v>
                </c:pt>
                <c:pt idx="211">
                  <c:v>1074.13693951655</c:v>
                </c:pt>
                <c:pt idx="212">
                  <c:v>1081.65217953856</c:v>
                </c:pt>
                <c:pt idx="213">
                  <c:v>1088.5444032459</c:v>
                </c:pt>
                <c:pt idx="214">
                  <c:v>1094.88173687951</c:v>
                </c:pt>
                <c:pt idx="215">
                  <c:v>1100.69639692128</c:v>
                </c:pt>
                <c:pt idx="216">
                  <c:v>1111.02994475816</c:v>
                </c:pt>
                <c:pt idx="217">
                  <c:v>1122.36537969133</c:v>
                </c:pt>
                <c:pt idx="218">
                  <c:v>1133.30410502648</c:v>
                </c:pt>
                <c:pt idx="219">
                  <c:v>1143.85605775882</c:v>
                </c:pt>
                <c:pt idx="220">
                  <c:v>1155.35194296788</c:v>
                </c:pt>
                <c:pt idx="221">
                  <c:v>1166.44625117711</c:v>
                </c:pt>
                <c:pt idx="222">
                  <c:v>1177.14891868264</c:v>
                </c:pt>
                <c:pt idx="223">
                  <c:v>1187.46992481058</c:v>
                </c:pt>
                <c:pt idx="224">
                  <c:v>1197.41894931901</c:v>
                </c:pt>
                <c:pt idx="225">
                  <c:v>1207.00537293422</c:v>
                </c:pt>
                <c:pt idx="226">
                  <c:v>1216.23827025996</c:v>
                </c:pt>
                <c:pt idx="227">
                  <c:v>1225.12640380117</c:v>
                </c:pt>
                <c:pt idx="228">
                  <c:v>1233.67682073739</c:v>
                </c:pt>
                <c:pt idx="229">
                  <c:v>1241.8967463457</c:v>
                </c:pt>
                <c:pt idx="230">
                  <c:v>1250.89021917786</c:v>
                </c:pt>
                <c:pt idx="231">
                  <c:v>1259.53998464441</c:v>
                </c:pt>
                <c:pt idx="232">
                  <c:v>1267.8535707961</c:v>
                </c:pt>
                <c:pt idx="233">
                  <c:v>1275.83820333598</c:v>
                </c:pt>
                <c:pt idx="234">
                  <c:v>1283.50078584553</c:v>
                </c:pt>
                <c:pt idx="235">
                  <c:v>1290.8478992666</c:v>
                </c:pt>
                <c:pt idx="236">
                  <c:v>1297.88580637355</c:v>
                </c:pt>
                <c:pt idx="237">
                  <c:v>1304.62045934886</c:v>
                </c:pt>
                <c:pt idx="238">
                  <c:v>1311.05750901515</c:v>
                </c:pt>
                <c:pt idx="239">
                  <c:v>1317.20231512322</c:v>
                </c:pt>
                <c:pt idx="240">
                  <c:v>1324.03667110962</c:v>
                </c:pt>
                <c:pt idx="241">
                  <c:v>1330.56365617085</c:v>
                </c:pt>
                <c:pt idx="242">
                  <c:v>1336.78825135138</c:v>
                </c:pt>
                <c:pt idx="243">
                  <c:v>1342.71524046432</c:v>
                </c:pt>
                <c:pt idx="244">
                  <c:v>1348.3491861757</c:v>
                </c:pt>
                <c:pt idx="245">
                  <c:v>1353.69443881099</c:v>
                </c:pt>
                <c:pt idx="246">
                  <c:v>1358.75515370398</c:v>
                </c:pt>
                <c:pt idx="247">
                  <c:v>1363.53705671324</c:v>
                </c:pt>
                <c:pt idx="248">
                  <c:v>1368.04213668733</c:v>
                </c:pt>
                <c:pt idx="249">
                  <c:v>1372.27418000668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4815821"/>
        <c:axId val="876411873"/>
      </c:lineChart>
      <c:catAx>
        <c:axId val="9748158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6411873"/>
        <c:crosses val="autoZero"/>
        <c:auto val="1"/>
        <c:lblAlgn val="ctr"/>
        <c:lblOffset val="100"/>
        <c:noMultiLvlLbl val="0"/>
      </c:catAx>
      <c:valAx>
        <c:axId val="8764118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8158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3608993-4e44-4bb6-b241-e023e2efa5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co2emission!$K$1</c:f>
              <c:strCache>
                <c:ptCount val="1"/>
                <c:pt idx="0">
                  <c:v>net_emission(gtc)_default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co2emission!$K$2:$K$85</c:f>
              <c:numCache>
                <c:formatCode>General</c:formatCode>
                <c:ptCount val="84"/>
                <c:pt idx="0">
                  <c:v>36.4146674184527</c:v>
                </c:pt>
                <c:pt idx="1">
                  <c:v>35.5167847463476</c:v>
                </c:pt>
                <c:pt idx="2">
                  <c:v>34.8845408772784</c:v>
                </c:pt>
                <c:pt idx="3">
                  <c:v>33.8345273946563</c:v>
                </c:pt>
                <c:pt idx="4">
                  <c:v>34.149369823301</c:v>
                </c:pt>
                <c:pt idx="5">
                  <c:v>34.1612890583434</c:v>
                </c:pt>
                <c:pt idx="6">
                  <c:v>34.0540539316341</c:v>
                </c:pt>
                <c:pt idx="7">
                  <c:v>33.8274138243156</c:v>
                </c:pt>
                <c:pt idx="8">
                  <c:v>33.5852028838382</c:v>
                </c:pt>
                <c:pt idx="9">
                  <c:v>32.7967375917737</c:v>
                </c:pt>
                <c:pt idx="10">
                  <c:v>32.2502030105684</c:v>
                </c:pt>
                <c:pt idx="11">
                  <c:v>31.6075239437583</c:v>
                </c:pt>
                <c:pt idx="12">
                  <c:v>30.479566495197</c:v>
                </c:pt>
                <c:pt idx="13">
                  <c:v>29.0522326404464</c:v>
                </c:pt>
                <c:pt idx="14">
                  <c:v>28.7708124646233</c:v>
                </c:pt>
                <c:pt idx="15">
                  <c:v>27.7472367968106</c:v>
                </c:pt>
                <c:pt idx="16">
                  <c:v>26.9753762611613</c:v>
                </c:pt>
                <c:pt idx="17">
                  <c:v>25.3905573204699</c:v>
                </c:pt>
                <c:pt idx="18">
                  <c:v>23.9723514920762</c:v>
                </c:pt>
                <c:pt idx="19">
                  <c:v>22.193319556457</c:v>
                </c:pt>
                <c:pt idx="20">
                  <c:v>20.2804071296442</c:v>
                </c:pt>
                <c:pt idx="21">
                  <c:v>18.1186174824522</c:v>
                </c:pt>
                <c:pt idx="22">
                  <c:v>15.8256275091346</c:v>
                </c:pt>
                <c:pt idx="23">
                  <c:v>13.4017593592596</c:v>
                </c:pt>
                <c:pt idx="24">
                  <c:v>13.0875149566063</c:v>
                </c:pt>
                <c:pt idx="25">
                  <c:v>11.1656955107708</c:v>
                </c:pt>
                <c:pt idx="26">
                  <c:v>9.45524724331346</c:v>
                </c:pt>
                <c:pt idx="27">
                  <c:v>7.75145188431991</c:v>
                </c:pt>
                <c:pt idx="28">
                  <c:v>6.03661618484534</c:v>
                </c:pt>
                <c:pt idx="29">
                  <c:v>4.4340800920591</c:v>
                </c:pt>
                <c:pt idx="30">
                  <c:v>3.10389045182466</c:v>
                </c:pt>
                <c:pt idx="31">
                  <c:v>1.55671191970701</c:v>
                </c:pt>
                <c:pt idx="32">
                  <c:v>0.232092098566741</c:v>
                </c:pt>
                <c:pt idx="33">
                  <c:v>-1.03832310332328</c:v>
                </c:pt>
                <c:pt idx="34">
                  <c:v>-2.00507364156234</c:v>
                </c:pt>
                <c:pt idx="35">
                  <c:v>-2.93227123521572</c:v>
                </c:pt>
                <c:pt idx="36">
                  <c:v>-3.74600203833771</c:v>
                </c:pt>
                <c:pt idx="37">
                  <c:v>-4.49946245863473</c:v>
                </c:pt>
                <c:pt idx="38">
                  <c:v>-5.17953294380652</c:v>
                </c:pt>
                <c:pt idx="39">
                  <c:v>-5.55073370996841</c:v>
                </c:pt>
                <c:pt idx="40">
                  <c:v>-6.24861796420625</c:v>
                </c:pt>
                <c:pt idx="41">
                  <c:v>-6.38588347010281</c:v>
                </c:pt>
                <c:pt idx="42">
                  <c:v>-6.46457666006518</c:v>
                </c:pt>
                <c:pt idx="43">
                  <c:v>-6.55077650101299</c:v>
                </c:pt>
                <c:pt idx="44">
                  <c:v>-6.42971249706261</c:v>
                </c:pt>
                <c:pt idx="45">
                  <c:v>-6.28029222067384</c:v>
                </c:pt>
                <c:pt idx="46">
                  <c:v>-6.47365645293664</c:v>
                </c:pt>
                <c:pt idx="47">
                  <c:v>-6.39011457515817</c:v>
                </c:pt>
                <c:pt idx="48">
                  <c:v>-6.50134075808317</c:v>
                </c:pt>
                <c:pt idx="49">
                  <c:v>-6.76364839479481</c:v>
                </c:pt>
                <c:pt idx="50">
                  <c:v>-6.7852981966574</c:v>
                </c:pt>
                <c:pt idx="51">
                  <c:v>-7.11385605714615</c:v>
                </c:pt>
                <c:pt idx="52">
                  <c:v>-7.19452935891841</c:v>
                </c:pt>
                <c:pt idx="53">
                  <c:v>-7.53463319182751</c:v>
                </c:pt>
                <c:pt idx="54">
                  <c:v>-7.61628449757997</c:v>
                </c:pt>
                <c:pt idx="55">
                  <c:v>-7.9392384850908</c:v>
                </c:pt>
                <c:pt idx="56">
                  <c:v>-8.07210278769906</c:v>
                </c:pt>
                <c:pt idx="57">
                  <c:v>-8.41151570477655</c:v>
                </c:pt>
                <c:pt idx="58">
                  <c:v>-8.60756080557134</c:v>
                </c:pt>
                <c:pt idx="59">
                  <c:v>-8.95612254908668</c:v>
                </c:pt>
                <c:pt idx="60">
                  <c:v>-9.22528974640985</c:v>
                </c:pt>
                <c:pt idx="61">
                  <c:v>-9.58369281584716</c:v>
                </c:pt>
                <c:pt idx="62">
                  <c:v>-9.91391774131469</c:v>
                </c:pt>
                <c:pt idx="63">
                  <c:v>-10.2867928953946</c:v>
                </c:pt>
                <c:pt idx="64">
                  <c:v>-10.5753745224279</c:v>
                </c:pt>
                <c:pt idx="65">
                  <c:v>-10.9073175725074</c:v>
                </c:pt>
                <c:pt idx="66">
                  <c:v>-11.2429278062362</c:v>
                </c:pt>
                <c:pt idx="67">
                  <c:v>-11.6040076259292</c:v>
                </c:pt>
                <c:pt idx="68">
                  <c:v>-11.977147126772</c:v>
                </c:pt>
                <c:pt idx="69">
                  <c:v>-12.3659898071233</c:v>
                </c:pt>
                <c:pt idx="70">
                  <c:v>-12.7656440257919</c:v>
                </c:pt>
                <c:pt idx="71">
                  <c:v>-13.1752785257722</c:v>
                </c:pt>
                <c:pt idx="72">
                  <c:v>-13.5924660983493</c:v>
                </c:pt>
                <c:pt idx="73">
                  <c:v>-14.0156838510588</c:v>
                </c:pt>
                <c:pt idx="74">
                  <c:v>-14.3703696429452</c:v>
                </c:pt>
                <c:pt idx="75">
                  <c:v>-14.7416563393451</c:v>
                </c:pt>
                <c:pt idx="76">
                  <c:v>-15.1233329317076</c:v>
                </c:pt>
                <c:pt idx="77">
                  <c:v>-15.5150968689183</c:v>
                </c:pt>
                <c:pt idx="78">
                  <c:v>-15.9140083118652</c:v>
                </c:pt>
                <c:pt idx="79">
                  <c:v>-16.318089443178</c:v>
                </c:pt>
                <c:pt idx="80">
                  <c:v>-16.7252643297149</c:v>
                </c:pt>
                <c:pt idx="81">
                  <c:v>-17.1337601796308</c:v>
                </c:pt>
                <c:pt idx="82">
                  <c:v>-17.5419748487735</c:v>
                </c:pt>
                <c:pt idx="83">
                  <c:v>-17.9484980245722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co2emission!$S$1</c:f>
              <c:strCache>
                <c:ptCount val="1"/>
                <c:pt idx="0">
                  <c:v>net_emission(gtc)_slow2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co2emission!$S$2:$S$85</c:f>
              <c:numCache>
                <c:formatCode>General</c:formatCode>
                <c:ptCount val="84"/>
                <c:pt idx="0">
                  <c:v>36.4146674184527</c:v>
                </c:pt>
                <c:pt idx="1">
                  <c:v>36.7617182966692</c:v>
                </c:pt>
                <c:pt idx="2">
                  <c:v>36.7749383225332</c:v>
                </c:pt>
                <c:pt idx="3">
                  <c:v>36.6309190134646</c:v>
                </c:pt>
                <c:pt idx="4">
                  <c:v>37.6514818525231</c:v>
                </c:pt>
                <c:pt idx="5">
                  <c:v>38.6215545661052</c:v>
                </c:pt>
                <c:pt idx="6">
                  <c:v>39.4406669938348</c:v>
                </c:pt>
                <c:pt idx="7">
                  <c:v>40.0831827546027</c:v>
                </c:pt>
                <c:pt idx="8">
                  <c:v>40.582855277359</c:v>
                </c:pt>
                <c:pt idx="9">
                  <c:v>41.0947865420853</c:v>
                </c:pt>
                <c:pt idx="10">
                  <c:v>41.3508324769272</c:v>
                </c:pt>
                <c:pt idx="11">
                  <c:v>41.4272676995836</c:v>
                </c:pt>
                <c:pt idx="12">
                  <c:v>41.5387654779333</c:v>
                </c:pt>
                <c:pt idx="13">
                  <c:v>41.4803547208493</c:v>
                </c:pt>
                <c:pt idx="14">
                  <c:v>42.2147081568283</c:v>
                </c:pt>
                <c:pt idx="15">
                  <c:v>43.0138426828348</c:v>
                </c:pt>
                <c:pt idx="16">
                  <c:v>43.5646653450105</c:v>
                </c:pt>
                <c:pt idx="17">
                  <c:v>43.810596354262</c:v>
                </c:pt>
                <c:pt idx="18">
                  <c:v>44.1375817126225</c:v>
                </c:pt>
                <c:pt idx="19">
                  <c:v>44.1394550845171</c:v>
                </c:pt>
                <c:pt idx="20">
                  <c:v>43.9360684665038</c:v>
                </c:pt>
                <c:pt idx="21">
                  <c:v>43.8871553175386</c:v>
                </c:pt>
                <c:pt idx="22">
                  <c:v>43.4764538469538</c:v>
                </c:pt>
                <c:pt idx="23">
                  <c:v>43.0091689664504</c:v>
                </c:pt>
                <c:pt idx="24">
                  <c:v>44.6467282856383</c:v>
                </c:pt>
                <c:pt idx="25">
                  <c:v>44.8325357222858</c:v>
                </c:pt>
                <c:pt idx="26">
                  <c:v>45.0577906899274</c:v>
                </c:pt>
                <c:pt idx="27">
                  <c:v>45.2994905817184</c:v>
                </c:pt>
                <c:pt idx="28">
                  <c:v>45.1782631353231</c:v>
                </c:pt>
                <c:pt idx="29">
                  <c:v>45.2065605191257</c:v>
                </c:pt>
                <c:pt idx="30">
                  <c:v>45.0779847035462</c:v>
                </c:pt>
                <c:pt idx="31">
                  <c:v>45.093315746101</c:v>
                </c:pt>
                <c:pt idx="32">
                  <c:v>44.7927427437495</c:v>
                </c:pt>
                <c:pt idx="33">
                  <c:v>44.5451061471357</c:v>
                </c:pt>
                <c:pt idx="34">
                  <c:v>44.4493476119306</c:v>
                </c:pt>
                <c:pt idx="35">
                  <c:v>44.2089529387441</c:v>
                </c:pt>
                <c:pt idx="36">
                  <c:v>44.7549792536508</c:v>
                </c:pt>
                <c:pt idx="37">
                  <c:v>45.3307387722564</c:v>
                </c:pt>
                <c:pt idx="38">
                  <c:v>45.8923140489304</c:v>
                </c:pt>
                <c:pt idx="39">
                  <c:v>46.4691515007906</c:v>
                </c:pt>
                <c:pt idx="40">
                  <c:v>47.0158079972758</c:v>
                </c:pt>
                <c:pt idx="41">
                  <c:v>47.5300496936586</c:v>
                </c:pt>
                <c:pt idx="42">
                  <c:v>48.0148082186558</c:v>
                </c:pt>
                <c:pt idx="43">
                  <c:v>48.4702101467173</c:v>
                </c:pt>
                <c:pt idx="44">
                  <c:v>49.1018971200041</c:v>
                </c:pt>
                <c:pt idx="45">
                  <c:v>49.6985211177971</c:v>
                </c:pt>
                <c:pt idx="46">
                  <c:v>50.2659223395948</c:v>
                </c:pt>
                <c:pt idx="47">
                  <c:v>50.7919267756348</c:v>
                </c:pt>
                <c:pt idx="48">
                  <c:v>51.2808131631212</c:v>
                </c:pt>
                <c:pt idx="49">
                  <c:v>51.7339674104227</c:v>
                </c:pt>
                <c:pt idx="50">
                  <c:v>52.1516115768667</c:v>
                </c:pt>
                <c:pt idx="51">
                  <c:v>52.5341900634803</c:v>
                </c:pt>
                <c:pt idx="52">
                  <c:v>52.8824578288348</c:v>
                </c:pt>
                <c:pt idx="53">
                  <c:v>53.2407354203362</c:v>
                </c:pt>
                <c:pt idx="54">
                  <c:v>53.6169133087292</c:v>
                </c:pt>
                <c:pt idx="55">
                  <c:v>53.9737661498456</c:v>
                </c:pt>
                <c:pt idx="56">
                  <c:v>54.2918354963247</c:v>
                </c:pt>
                <c:pt idx="57">
                  <c:v>54.5794492096011</c:v>
                </c:pt>
                <c:pt idx="58">
                  <c:v>54.8389825118348</c:v>
                </c:pt>
                <c:pt idx="59">
                  <c:v>55.0727100661463</c:v>
                </c:pt>
                <c:pt idx="60">
                  <c:v>55.28240340889</c:v>
                </c:pt>
                <c:pt idx="61">
                  <c:v>55.4696558911352</c:v>
                </c:pt>
                <c:pt idx="62">
                  <c:v>55.6359652470069</c:v>
                </c:pt>
                <c:pt idx="63">
                  <c:v>55.782685068282</c:v>
                </c:pt>
                <c:pt idx="64">
                  <c:v>56.027680798217</c:v>
                </c:pt>
                <c:pt idx="65">
                  <c:v>56.2209522450481</c:v>
                </c:pt>
                <c:pt idx="66">
                  <c:v>56.385932507947</c:v>
                </c:pt>
                <c:pt idx="67">
                  <c:v>56.5348837874767</c:v>
                </c:pt>
                <c:pt idx="68">
                  <c:v>56.6690077025127</c:v>
                </c:pt>
                <c:pt idx="69">
                  <c:v>56.7860883978012</c:v>
                </c:pt>
                <c:pt idx="70">
                  <c:v>56.8844821669092</c:v>
                </c:pt>
                <c:pt idx="71">
                  <c:v>57.012620648711</c:v>
                </c:pt>
                <c:pt idx="72">
                  <c:v>57.0864705284621</c:v>
                </c:pt>
                <c:pt idx="73">
                  <c:v>57.117467251696</c:v>
                </c:pt>
                <c:pt idx="74">
                  <c:v>57.23407769733</c:v>
                </c:pt>
                <c:pt idx="75">
                  <c:v>57.3283434236049</c:v>
                </c:pt>
                <c:pt idx="76">
                  <c:v>57.3880513958397</c:v>
                </c:pt>
                <c:pt idx="77">
                  <c:v>57.4398453047837</c:v>
                </c:pt>
                <c:pt idx="78">
                  <c:v>57.4932743204046</c:v>
                </c:pt>
                <c:pt idx="79">
                  <c:v>57.5145603553924</c:v>
                </c:pt>
                <c:pt idx="80">
                  <c:v>57.4737291409783</c:v>
                </c:pt>
                <c:pt idx="81">
                  <c:v>57.4739187454211</c:v>
                </c:pt>
                <c:pt idx="82">
                  <c:v>57.4774974638399</c:v>
                </c:pt>
                <c:pt idx="83">
                  <c:v>57.4053761323886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co2emission!$AA$1</c:f>
              <c:strCache>
                <c:ptCount val="1"/>
                <c:pt idx="0">
                  <c:v>net_emission(gtc)——speed24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co2emission!$AA$2:$AA$85</c:f>
              <c:numCache>
                <c:formatCode>General</c:formatCode>
                <c:ptCount val="84"/>
                <c:pt idx="0">
                  <c:v>36.4146674184527</c:v>
                </c:pt>
                <c:pt idx="1">
                  <c:v>34.0709067348513</c:v>
                </c:pt>
                <c:pt idx="2">
                  <c:v>30.508656559318</c:v>
                </c:pt>
                <c:pt idx="3">
                  <c:v>25.2515660338194</c:v>
                </c:pt>
                <c:pt idx="4">
                  <c:v>19.9969984477746</c:v>
                </c:pt>
                <c:pt idx="5">
                  <c:v>14.0245725089902</c:v>
                </c:pt>
                <c:pt idx="6">
                  <c:v>8.60851900563579</c:v>
                </c:pt>
                <c:pt idx="7">
                  <c:v>5.81109879934629</c:v>
                </c:pt>
                <c:pt idx="8">
                  <c:v>3.87696670669582</c:v>
                </c:pt>
                <c:pt idx="9">
                  <c:v>2.51455375785047</c:v>
                </c:pt>
                <c:pt idx="10">
                  <c:v>1.96169353548043</c:v>
                </c:pt>
                <c:pt idx="11">
                  <c:v>1.3001335120996</c:v>
                </c:pt>
                <c:pt idx="12">
                  <c:v>1.04159556006579</c:v>
                </c:pt>
                <c:pt idx="13">
                  <c:v>0.575880107511899</c:v>
                </c:pt>
                <c:pt idx="14">
                  <c:v>1.10832297380091</c:v>
                </c:pt>
                <c:pt idx="15">
                  <c:v>1.07515535539948</c:v>
                </c:pt>
                <c:pt idx="16">
                  <c:v>0.634056742355707</c:v>
                </c:pt>
                <c:pt idx="17">
                  <c:v>0.354615272651781</c:v>
                </c:pt>
                <c:pt idx="18">
                  <c:v>0.159132939239426</c:v>
                </c:pt>
                <c:pt idx="19">
                  <c:v>-0.480730285133091</c:v>
                </c:pt>
                <c:pt idx="20">
                  <c:v>-0.719416128154749</c:v>
                </c:pt>
                <c:pt idx="21">
                  <c:v>-1.19985804678384</c:v>
                </c:pt>
                <c:pt idx="22">
                  <c:v>-1.66585175310085</c:v>
                </c:pt>
                <c:pt idx="23">
                  <c:v>-2.1290495252282</c:v>
                </c:pt>
                <c:pt idx="24">
                  <c:v>-0.34596958682486</c:v>
                </c:pt>
                <c:pt idx="25">
                  <c:v>-1.19787952872529</c:v>
                </c:pt>
                <c:pt idx="26">
                  <c:v>-1.52558448485474</c:v>
                </c:pt>
                <c:pt idx="27">
                  <c:v>-2.10567858365123</c:v>
                </c:pt>
                <c:pt idx="28">
                  <c:v>-2.29674678189268</c:v>
                </c:pt>
                <c:pt idx="29">
                  <c:v>-2.98253765465489</c:v>
                </c:pt>
                <c:pt idx="30">
                  <c:v>-3.2644909021593</c:v>
                </c:pt>
                <c:pt idx="31">
                  <c:v>-3.6422463605739</c:v>
                </c:pt>
                <c:pt idx="32">
                  <c:v>-3.9067899029118</c:v>
                </c:pt>
                <c:pt idx="33">
                  <c:v>-4.33797350521497</c:v>
                </c:pt>
                <c:pt idx="34">
                  <c:v>-4.55359907761651</c:v>
                </c:pt>
                <c:pt idx="35">
                  <c:v>-4.86794110575291</c:v>
                </c:pt>
                <c:pt idx="36">
                  <c:v>-5.20204953730716</c:v>
                </c:pt>
                <c:pt idx="37">
                  <c:v>-5.53911017385291</c:v>
                </c:pt>
                <c:pt idx="38">
                  <c:v>-5.87282182172812</c:v>
                </c:pt>
                <c:pt idx="39">
                  <c:v>-6.20015403337896</c:v>
                </c:pt>
                <c:pt idx="40">
                  <c:v>-6.52030033344695</c:v>
                </c:pt>
                <c:pt idx="41">
                  <c:v>-6.83345599593359</c:v>
                </c:pt>
                <c:pt idx="42">
                  <c:v>-7.1395944620343</c:v>
                </c:pt>
                <c:pt idx="43">
                  <c:v>-7.43866473621852</c:v>
                </c:pt>
                <c:pt idx="44">
                  <c:v>-7.50765430018621</c:v>
                </c:pt>
                <c:pt idx="45">
                  <c:v>-7.68537443637293</c:v>
                </c:pt>
                <c:pt idx="46">
                  <c:v>-7.94589124973217</c:v>
                </c:pt>
                <c:pt idx="47">
                  <c:v>-8.22198110198747</c:v>
                </c:pt>
                <c:pt idx="48">
                  <c:v>-8.49804199328338</c:v>
                </c:pt>
                <c:pt idx="49">
                  <c:v>-8.77179906825698</c:v>
                </c:pt>
                <c:pt idx="50">
                  <c:v>-8.66323614141759</c:v>
                </c:pt>
                <c:pt idx="51">
                  <c:v>-8.65826743323887</c:v>
                </c:pt>
                <c:pt idx="52">
                  <c:v>-8.81382425651366</c:v>
                </c:pt>
                <c:pt idx="53">
                  <c:v>-9.01688551750248</c:v>
                </c:pt>
                <c:pt idx="54">
                  <c:v>-9.13749481917686</c:v>
                </c:pt>
                <c:pt idx="55">
                  <c:v>-9.33030336005102</c:v>
                </c:pt>
                <c:pt idx="56">
                  <c:v>-9.55023243234657</c:v>
                </c:pt>
                <c:pt idx="57">
                  <c:v>-9.78231480945715</c:v>
                </c:pt>
                <c:pt idx="58">
                  <c:v>-10.0214156684206</c:v>
                </c:pt>
                <c:pt idx="59">
                  <c:v>-10.2654424514232</c:v>
                </c:pt>
                <c:pt idx="60">
                  <c:v>-10.5134073824741</c:v>
                </c:pt>
                <c:pt idx="61">
                  <c:v>-10.7647535167169</c:v>
                </c:pt>
                <c:pt idx="62">
                  <c:v>-11.0190756277349</c:v>
                </c:pt>
                <c:pt idx="63">
                  <c:v>-11.2765696931664</c:v>
                </c:pt>
                <c:pt idx="64">
                  <c:v>-11.4523805353145</c:v>
                </c:pt>
                <c:pt idx="65">
                  <c:v>-11.6805552458972</c:v>
                </c:pt>
                <c:pt idx="66">
                  <c:v>-11.931902693587</c:v>
                </c:pt>
                <c:pt idx="67">
                  <c:v>-12.1919577770968</c:v>
                </c:pt>
                <c:pt idx="68">
                  <c:v>-12.4564955123976</c:v>
                </c:pt>
                <c:pt idx="69">
                  <c:v>-12.7240050121039</c:v>
                </c:pt>
                <c:pt idx="70">
                  <c:v>-12.9938056127466</c:v>
                </c:pt>
                <c:pt idx="71">
                  <c:v>-13.2654776233708</c:v>
                </c:pt>
                <c:pt idx="72">
                  <c:v>-13.5386890148038</c:v>
                </c:pt>
                <c:pt idx="73">
                  <c:v>-13.813172287791</c:v>
                </c:pt>
                <c:pt idx="74">
                  <c:v>-14.0143525047493</c:v>
                </c:pt>
                <c:pt idx="75">
                  <c:v>-14.2597973323898</c:v>
                </c:pt>
                <c:pt idx="76">
                  <c:v>-14.526639964852</c:v>
                </c:pt>
                <c:pt idx="77">
                  <c:v>-14.7999407465005</c:v>
                </c:pt>
                <c:pt idx="78">
                  <c:v>-15.0755848346645</c:v>
                </c:pt>
                <c:pt idx="79">
                  <c:v>-15.3521157745404</c:v>
                </c:pt>
                <c:pt idx="80">
                  <c:v>-15.6288415054095</c:v>
                </c:pt>
                <c:pt idx="81">
                  <c:v>-15.8472094166277</c:v>
                </c:pt>
                <c:pt idx="82">
                  <c:v>-16.1584479331179</c:v>
                </c:pt>
                <c:pt idx="83">
                  <c:v>-16.4443392097546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5230567"/>
        <c:axId val="382546935"/>
      </c:lineChart>
      <c:catAx>
        <c:axId val="115230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2546935"/>
        <c:crosses val="autoZero"/>
        <c:auto val="1"/>
        <c:lblAlgn val="ctr"/>
        <c:lblOffset val="100"/>
        <c:noMultiLvlLbl val="0"/>
      </c:catAx>
      <c:valAx>
        <c:axId val="38254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3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co2emission!$L$1</c:f>
              <c:strCache>
                <c:ptCount val="1"/>
                <c:pt idx="0">
                  <c:v>CO2emission_actualFF_default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co2emission!$L$2:$L$85</c:f>
              <c:numCache>
                <c:formatCode>General</c:formatCode>
                <c:ptCount val="84"/>
                <c:pt idx="0">
                  <c:v>9.93127293230528</c:v>
                </c:pt>
                <c:pt idx="1">
                  <c:v>9.68639583991299</c:v>
                </c:pt>
                <c:pt idx="2">
                  <c:v>9.51396569380319</c:v>
                </c:pt>
                <c:pt idx="3">
                  <c:v>9.26962056390781</c:v>
                </c:pt>
                <c:pt idx="4">
                  <c:v>9.39539029677994</c:v>
                </c:pt>
                <c:pt idx="5">
                  <c:v>9.43625465650401</c:v>
                </c:pt>
                <c:pt idx="6">
                  <c:v>9.44262399810528</c:v>
                </c:pt>
                <c:pt idx="7">
                  <c:v>9.41457097354376</c:v>
                </c:pt>
                <c:pt idx="8">
                  <c:v>9.38073668874397</c:v>
                </c:pt>
                <c:pt idx="9">
                  <c:v>9.19524613925682</c:v>
                </c:pt>
                <c:pt idx="10">
                  <c:v>9.07571665662636</c:v>
                </c:pt>
                <c:pt idx="11">
                  <c:v>8.93037554708042</c:v>
                </c:pt>
                <c:pt idx="12">
                  <c:v>8.65245037023941</c:v>
                </c:pt>
                <c:pt idx="13">
                  <c:v>8.29356760017022</c:v>
                </c:pt>
                <c:pt idx="14">
                  <c:v>8.2520601325257</c:v>
                </c:pt>
                <c:pt idx="15">
                  <c:v>8.00982888555271</c:v>
                </c:pt>
                <c:pt idx="16">
                  <c:v>7.84116601880042</c:v>
                </c:pt>
                <c:pt idx="17">
                  <c:v>7.45403906576722</c:v>
                </c:pt>
                <c:pt idx="18">
                  <c:v>7.11867614420465</c:v>
                </c:pt>
                <c:pt idx="19">
                  <c:v>6.69000968650179</c:v>
                </c:pt>
                <c:pt idx="20">
                  <c:v>6.23072459193657</c:v>
                </c:pt>
                <c:pt idx="21">
                  <c:v>5.70913384317646</c:v>
                </c:pt>
                <c:pt idx="22">
                  <c:v>5.15743414984924</c:v>
                </c:pt>
                <c:pt idx="23">
                  <c:v>4.57523524673467</c:v>
                </c:pt>
                <c:pt idx="24">
                  <c:v>4.57806511484547</c:v>
                </c:pt>
                <c:pt idx="25">
                  <c:v>4.14265118220833</c:v>
                </c:pt>
                <c:pt idx="26">
                  <c:v>3.76833721211456</c:v>
                </c:pt>
                <c:pt idx="27">
                  <c:v>3.39739569537524</c:v>
                </c:pt>
                <c:pt idx="28">
                  <c:v>3.02365602171138</c:v>
                </c:pt>
                <c:pt idx="29">
                  <c:v>2.67992884664186</c:v>
                </c:pt>
                <c:pt idx="30">
                  <c:v>2.4093694322897</c:v>
                </c:pt>
                <c:pt idx="31">
                  <c:v>2.07618936088937</c:v>
                </c:pt>
                <c:pt idx="32">
                  <c:v>1.80120213776938</c:v>
                </c:pt>
                <c:pt idx="33">
                  <c:v>1.53765828141257</c:v>
                </c:pt>
                <c:pt idx="34">
                  <c:v>1.35444944487572</c:v>
                </c:pt>
                <c:pt idx="35">
                  <c:v>1.17875287258992</c:v>
                </c:pt>
                <c:pt idx="36">
                  <c:v>1.03125174841914</c:v>
                </c:pt>
                <c:pt idx="37">
                  <c:v>0.897512868485934</c:v>
                </c:pt>
                <c:pt idx="38">
                  <c:v>0.781489663219937</c:v>
                </c:pt>
                <c:pt idx="39">
                  <c:v>0.748952627345724</c:v>
                </c:pt>
                <c:pt idx="40">
                  <c:v>0.623709033046389</c:v>
                </c:pt>
                <c:pt idx="41">
                  <c:v>0.652651407202311</c:v>
                </c:pt>
                <c:pt idx="42">
                  <c:v>0.696652121734477</c:v>
                </c:pt>
                <c:pt idx="43">
                  <c:v>0.737628524181392</c:v>
                </c:pt>
                <c:pt idx="44">
                  <c:v>0.835781839352346</c:v>
                </c:pt>
                <c:pt idx="45">
                  <c:v>0.941613065985926</c:v>
                </c:pt>
                <c:pt idx="46">
                  <c:v>0.951392934123235</c:v>
                </c:pt>
                <c:pt idx="47">
                  <c:v>1.03879761881797</c:v>
                </c:pt>
                <c:pt idx="48">
                  <c:v>1.07189986885634</c:v>
                </c:pt>
                <c:pt idx="49">
                  <c:v>1.06292273333445</c:v>
                </c:pt>
                <c:pt idx="50">
                  <c:v>1.12219693508737</c:v>
                </c:pt>
                <c:pt idx="51">
                  <c:v>1.09575734697279</c:v>
                </c:pt>
                <c:pt idx="52">
                  <c:v>1.14004192888559</c:v>
                </c:pt>
                <c:pt idx="53">
                  <c:v>1.11201466778003</c:v>
                </c:pt>
                <c:pt idx="54">
                  <c:v>1.15808929245579</c:v>
                </c:pt>
                <c:pt idx="55">
                  <c:v>1.13695376252017</c:v>
                </c:pt>
                <c:pt idx="56">
                  <c:v>1.17092840053556</c:v>
                </c:pt>
                <c:pt idx="57">
                  <c:v>1.14744561495895</c:v>
                </c:pt>
                <c:pt idx="58">
                  <c:v>1.16595440561837</c:v>
                </c:pt>
                <c:pt idx="59">
                  <c:v>1.14221873046716</c:v>
                </c:pt>
                <c:pt idx="60">
                  <c:v>1.14234452190795</c:v>
                </c:pt>
                <c:pt idx="61">
                  <c:v>1.12162767710395</c:v>
                </c:pt>
                <c:pt idx="62">
                  <c:v>1.1101252755452</c:v>
                </c:pt>
                <c:pt idx="63">
                  <c:v>1.08826290662903</c:v>
                </c:pt>
                <c:pt idx="64">
                  <c:v>1.09060156796179</c:v>
                </c:pt>
                <c:pt idx="65">
                  <c:v>1.08224147876923</c:v>
                </c:pt>
                <c:pt idx="66">
                  <c:v>1.07391582821327</c:v>
                </c:pt>
                <c:pt idx="67">
                  <c:v>1.05956681100694</c:v>
                </c:pt>
                <c:pt idx="68">
                  <c:v>1.0427292950722</c:v>
                </c:pt>
                <c:pt idx="69">
                  <c:v>1.02227428878083</c:v>
                </c:pt>
                <c:pt idx="70">
                  <c:v>0.999390841126892</c:v>
                </c:pt>
                <c:pt idx="71">
                  <c:v>0.974151606828225</c:v>
                </c:pt>
                <c:pt idx="72">
                  <c:v>0.947057527067676</c:v>
                </c:pt>
                <c:pt idx="73">
                  <c:v>0.91835749565635</c:v>
                </c:pt>
                <c:pt idx="74">
                  <c:v>0.908219498218755</c:v>
                </c:pt>
                <c:pt idx="75">
                  <c:v>0.893254297666536</c:v>
                </c:pt>
                <c:pt idx="76">
                  <c:v>0.874984964241436</c:v>
                </c:pt>
                <c:pt idx="77">
                  <c:v>0.853324243371307</c:v>
                </c:pt>
                <c:pt idx="78">
                  <c:v>0.828907827499563</c:v>
                </c:pt>
                <c:pt idx="79">
                  <c:v>0.802114117410334</c:v>
                </c:pt>
                <c:pt idx="80">
                  <c:v>0.773354991276658</c:v>
                </c:pt>
                <c:pt idx="81">
                  <c:v>0.742967733083932</c:v>
                </c:pt>
                <c:pt idx="82">
                  <c:v>0.711252404159986</c:v>
                </c:pt>
                <c:pt idx="83">
                  <c:v>0.678467101284996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co2emission!$T$1</c:f>
              <c:strCache>
                <c:ptCount val="1"/>
                <c:pt idx="0">
                  <c:v>CO2emission_actualFF_slow2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co2emission!$T$2:$T$85</c:f>
              <c:numCache>
                <c:formatCode>General</c:formatCode>
                <c:ptCount val="84"/>
                <c:pt idx="0">
                  <c:v>9.93127293230528</c:v>
                </c:pt>
                <c:pt idx="1">
                  <c:v>10.0259231718189</c:v>
                </c:pt>
                <c:pt idx="2">
                  <c:v>10.0295286334182</c:v>
                </c:pt>
                <c:pt idx="3">
                  <c:v>10.0346763888624</c:v>
                </c:pt>
                <c:pt idx="4">
                  <c:v>10.3558401319561</c:v>
                </c:pt>
                <c:pt idx="5">
                  <c:v>10.6615063657878</c:v>
                </c:pt>
                <c:pt idx="6">
                  <c:v>10.9240417299875</c:v>
                </c:pt>
                <c:pt idx="7">
                  <c:v>11.1362913155992</c:v>
                </c:pt>
                <c:pt idx="8">
                  <c:v>11.3074504529402</c:v>
                </c:pt>
                <c:pt idx="9">
                  <c:v>11.480165060652</c:v>
                </c:pt>
                <c:pt idx="10">
                  <c:v>11.5814713774247</c:v>
                </c:pt>
                <c:pt idx="11">
                  <c:v>11.6335811581032</c:v>
                </c:pt>
                <c:pt idx="12">
                  <c:v>11.6958845153362</c:v>
                </c:pt>
                <c:pt idx="13">
                  <c:v>11.7133108496706</c:v>
                </c:pt>
                <c:pt idx="14">
                  <c:v>11.9524594789986</c:v>
                </c:pt>
                <c:pt idx="15">
                  <c:v>12.2144883846566</c:v>
                </c:pt>
                <c:pt idx="16">
                  <c:v>12.4138727886816</c:v>
                </c:pt>
                <c:pt idx="17">
                  <c:v>12.535812502247</c:v>
                </c:pt>
                <c:pt idx="18">
                  <c:v>12.6867699661129</c:v>
                </c:pt>
                <c:pt idx="19">
                  <c:v>12.7556127694123</c:v>
                </c:pt>
                <c:pt idx="20">
                  <c:v>12.7758558219458</c:v>
                </c:pt>
                <c:pt idx="21">
                  <c:v>12.8463252656166</c:v>
                </c:pt>
                <c:pt idx="22">
                  <c:v>12.8249998499929</c:v>
                </c:pt>
                <c:pt idx="23">
                  <c:v>12.7955984786984</c:v>
                </c:pt>
                <c:pt idx="24">
                  <c:v>13.3512859233288</c:v>
                </c:pt>
                <c:pt idx="25">
                  <c:v>13.5138986738131</c:v>
                </c:pt>
                <c:pt idx="26">
                  <c:v>13.6920419293397</c:v>
                </c:pt>
                <c:pt idx="27">
                  <c:v>13.8776880256464</c:v>
                </c:pt>
                <c:pt idx="28">
                  <c:v>13.9649013846011</c:v>
                </c:pt>
                <c:pt idx="29">
                  <c:v>14.0938038397447</c:v>
                </c:pt>
                <c:pt idx="30">
                  <c:v>14.1785420455762</c:v>
                </c:pt>
                <c:pt idx="31">
                  <c:v>14.3014830233329</c:v>
                </c:pt>
                <c:pt idx="32">
                  <c:v>14.3349177210663</c:v>
                </c:pt>
                <c:pt idx="33">
                  <c:v>14.381085181571</c:v>
                </c:pt>
                <c:pt idx="34">
                  <c:v>14.4673495179353</c:v>
                </c:pt>
                <c:pt idx="35">
                  <c:v>14.5119260139249</c:v>
                </c:pt>
                <c:pt idx="36">
                  <c:v>14.7735670785943</c:v>
                </c:pt>
                <c:pt idx="37">
                  <c:v>15.0429170929595</c:v>
                </c:pt>
                <c:pt idx="38">
                  <c:v>15.3087393972721</c:v>
                </c:pt>
                <c:pt idx="39">
                  <c:v>15.5804137449986</c:v>
                </c:pt>
                <c:pt idx="40">
                  <c:v>15.8451395091604</c:v>
                </c:pt>
                <c:pt idx="41">
                  <c:v>16.1028005930438</c:v>
                </c:pt>
                <c:pt idx="42">
                  <c:v>16.3547683140924</c:v>
                </c:pt>
                <c:pt idx="43">
                  <c:v>16.6015453709574</c:v>
                </c:pt>
                <c:pt idx="44">
                  <c:v>16.9010620010245</c:v>
                </c:pt>
                <c:pt idx="45">
                  <c:v>17.1947119619639</c:v>
                </c:pt>
                <c:pt idx="46">
                  <c:v>17.4845072097539</c:v>
                </c:pt>
                <c:pt idx="47">
                  <c:v>17.7669411128325</c:v>
                </c:pt>
                <c:pt idx="48">
                  <c:v>18.0434264943902</c:v>
                </c:pt>
                <c:pt idx="49">
                  <c:v>18.3143326229871</c:v>
                </c:pt>
                <c:pt idx="50">
                  <c:v>18.5795109618896</c:v>
                </c:pt>
                <c:pt idx="51">
                  <c:v>18.8387166138795</c:v>
                </c:pt>
                <c:pt idx="52">
                  <c:v>19.0916288748513</c:v>
                </c:pt>
                <c:pt idx="53">
                  <c:v>19.3512386836607</c:v>
                </c:pt>
                <c:pt idx="54">
                  <c:v>19.6158332499973</c:v>
                </c:pt>
                <c:pt idx="55">
                  <c:v>19.8762876943371</c:v>
                </c:pt>
                <c:pt idx="56">
                  <c:v>20.1246955556284</c:v>
                </c:pt>
                <c:pt idx="57">
                  <c:v>20.3624406812132</c:v>
                </c:pt>
                <c:pt idx="58">
                  <c:v>20.589022644787</c:v>
                </c:pt>
                <c:pt idx="59">
                  <c:v>20.8039083876613</c:v>
                </c:pt>
                <c:pt idx="60">
                  <c:v>21.0064473361975</c:v>
                </c:pt>
                <c:pt idx="61">
                  <c:v>21.196029026062</c:v>
                </c:pt>
                <c:pt idx="62">
                  <c:v>21.3721515761707</c:v>
                </c:pt>
                <c:pt idx="63">
                  <c:v>21.5344374305861</c:v>
                </c:pt>
                <c:pt idx="64">
                  <c:v>21.7180685150038</c:v>
                </c:pt>
                <c:pt idx="65">
                  <c:v>21.875150088599</c:v>
                </c:pt>
                <c:pt idx="66">
                  <c:v>22.0141330303809</c:v>
                </c:pt>
                <c:pt idx="67">
                  <c:v>22.1393606891332</c:v>
                </c:pt>
                <c:pt idx="68">
                  <c:v>22.2513400758878</c:v>
                </c:pt>
                <c:pt idx="69">
                  <c:v>22.3495632915851</c:v>
                </c:pt>
                <c:pt idx="70">
                  <c:v>22.4339085204795</c:v>
                </c:pt>
                <c:pt idx="71">
                  <c:v>22.521577545428</c:v>
                </c:pt>
                <c:pt idx="72">
                  <c:v>22.5833257730229</c:v>
                </c:pt>
                <c:pt idx="73">
                  <c:v>22.6247027636288</c:v>
                </c:pt>
                <c:pt idx="74">
                  <c:v>22.6873664044589</c:v>
                </c:pt>
                <c:pt idx="75">
                  <c:v>22.7376811499408</c:v>
                </c:pt>
                <c:pt idx="76">
                  <c:v>22.7722350241114</c:v>
                </c:pt>
                <c:pt idx="77">
                  <c:v>22.8011975028498</c:v>
                </c:pt>
                <c:pt idx="78">
                  <c:v>22.8281624799426</c:v>
                </c:pt>
                <c:pt idx="79">
                  <c:v>22.8416296724664</c:v>
                </c:pt>
                <c:pt idx="80">
                  <c:v>22.8321910103007</c:v>
                </c:pt>
                <c:pt idx="81">
                  <c:v>22.8365634769748</c:v>
                </c:pt>
                <c:pt idx="82">
                  <c:v>22.840775143451</c:v>
                </c:pt>
                <c:pt idx="83">
                  <c:v>22.8177953524308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co2emission!$AB$1</c:f>
              <c:strCache>
                <c:ptCount val="1"/>
                <c:pt idx="0">
                  <c:v>CO2emission_actualFF_speed24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co2emission!$AB$2:$AB$85</c:f>
              <c:numCache>
                <c:formatCode>General</c:formatCode>
                <c:ptCount val="84"/>
                <c:pt idx="0">
                  <c:v>9.93127293230528</c:v>
                </c:pt>
                <c:pt idx="1">
                  <c:v>9.29206547314126</c:v>
                </c:pt>
                <c:pt idx="2">
                  <c:v>8.32054269799583</c:v>
                </c:pt>
                <c:pt idx="3">
                  <c:v>6.92367101784286</c:v>
                </c:pt>
                <c:pt idx="4">
                  <c:v>5.52257489675546</c:v>
                </c:pt>
                <c:pt idx="5">
                  <c:v>3.92243587223611</c:v>
                </c:pt>
                <c:pt idx="6">
                  <c:v>2.47267642252417</c:v>
                </c:pt>
                <c:pt idx="7">
                  <c:v>1.73795240659326</c:v>
                </c:pt>
                <c:pt idx="8">
                  <c:v>1.23862324143404</c:v>
                </c:pt>
                <c:pt idx="9">
                  <c:v>0.895110631921782</c:v>
                </c:pt>
                <c:pt idx="10">
                  <c:v>0.773030493903699</c:v>
                </c:pt>
                <c:pt idx="11">
                  <c:v>0.62237074106922</c:v>
                </c:pt>
                <c:pt idx="12">
                  <c:v>0.583470573411094</c:v>
                </c:pt>
                <c:pt idx="13">
                  <c:v>0.489359179965425</c:v>
                </c:pt>
                <c:pt idx="14">
                  <c:v>0.67112722039234</c:v>
                </c:pt>
                <c:pt idx="15">
                  <c:v>0.700798167807521</c:v>
                </c:pt>
                <c:pt idx="16">
                  <c:v>0.62184190175273</c:v>
                </c:pt>
                <c:pt idx="17">
                  <c:v>0.590742501604132</c:v>
                </c:pt>
                <c:pt idx="18">
                  <c:v>0.586323731842731</c:v>
                </c:pt>
                <c:pt idx="19">
                  <c:v>0.463675517112487</c:v>
                </c:pt>
                <c:pt idx="20">
                  <c:v>0.455188766187895</c:v>
                </c:pt>
                <c:pt idx="21">
                  <c:v>0.384629891879851</c:v>
                </c:pt>
                <c:pt idx="22">
                  <c:v>0.322269510309097</c:v>
                </c:pt>
                <c:pt idx="23">
                  <c:v>0.264641012682355</c:v>
                </c:pt>
                <c:pt idx="24">
                  <c:v>0.828964835410565</c:v>
                </c:pt>
                <c:pt idx="25">
                  <c:v>0.671100512647664</c:v>
                </c:pt>
                <c:pt idx="26">
                  <c:v>0.660116498665149</c:v>
                </c:pt>
                <c:pt idx="27">
                  <c:v>0.581437327840781</c:v>
                </c:pt>
                <c:pt idx="28">
                  <c:v>0.611158496010421</c:v>
                </c:pt>
                <c:pt idx="29">
                  <c:v>0.504881410185445</c:v>
                </c:pt>
                <c:pt idx="30">
                  <c:v>0.509774990708326</c:v>
                </c:pt>
                <c:pt idx="31">
                  <c:v>0.487438534847701</c:v>
                </c:pt>
                <c:pt idx="32">
                  <c:v>0.495112357729461</c:v>
                </c:pt>
                <c:pt idx="33">
                  <c:v>0.455074350197629</c:v>
                </c:pt>
                <c:pt idx="34">
                  <c:v>0.472659497776597</c:v>
                </c:pt>
                <c:pt idx="35">
                  <c:v>0.460859910137547</c:v>
                </c:pt>
                <c:pt idx="36">
                  <c:v>0.441430266429002</c:v>
                </c:pt>
                <c:pt idx="37">
                  <c:v>0.419029468078517</c:v>
                </c:pt>
                <c:pt idx="38">
                  <c:v>0.395466097239217</c:v>
                </c:pt>
                <c:pt idx="39">
                  <c:v>0.371683917526724</c:v>
                </c:pt>
                <c:pt idx="40">
                  <c:v>0.348527358549893</c:v>
                </c:pt>
                <c:pt idx="41">
                  <c:v>0.325901893392863</c:v>
                </c:pt>
                <c:pt idx="42">
                  <c:v>0.303727860477103</c:v>
                </c:pt>
                <c:pt idx="43">
                  <c:v>0.282172446161211</c:v>
                </c:pt>
                <c:pt idx="44">
                  <c:v>0.322210552149638</c:v>
                </c:pt>
                <c:pt idx="45">
                  <c:v>0.331600026990637</c:v>
                </c:pt>
                <c:pt idx="46">
                  <c:v>0.317548728973277</c:v>
                </c:pt>
                <c:pt idx="47">
                  <c:v>0.298525924365918</c:v>
                </c:pt>
                <c:pt idx="48">
                  <c:v>0.278916425780097</c:v>
                </c:pt>
                <c:pt idx="49">
                  <c:v>0.259462785764884</c:v>
                </c:pt>
                <c:pt idx="50">
                  <c:v>0.343920024884127</c:v>
                </c:pt>
                <c:pt idx="51">
                  <c:v>0.399893189369247</c:v>
                </c:pt>
                <c:pt idx="52">
                  <c:v>0.411944427221059</c:v>
                </c:pt>
                <c:pt idx="53">
                  <c:v>0.410988950926058</c:v>
                </c:pt>
                <c:pt idx="54">
                  <c:v>0.432557701265331</c:v>
                </c:pt>
                <c:pt idx="55">
                  <c:v>0.434554665820524</c:v>
                </c:pt>
                <c:pt idx="56">
                  <c:v>0.429349272276168</c:v>
                </c:pt>
                <c:pt idx="57">
                  <c:v>0.421102876425114</c:v>
                </c:pt>
                <c:pt idx="58">
                  <c:v>0.411286881149798</c:v>
                </c:pt>
                <c:pt idx="59">
                  <c:v>0.400535006098541</c:v>
                </c:pt>
                <c:pt idx="60">
                  <c:v>0.389171770883177</c:v>
                </c:pt>
                <c:pt idx="61">
                  <c:v>0.377396372193313</c:v>
                </c:pt>
                <c:pt idx="62">
                  <c:v>0.365320737831895</c:v>
                </c:pt>
                <c:pt idx="63">
                  <c:v>0.352898696586379</c:v>
                </c:pt>
                <c:pt idx="64">
                  <c:v>0.363294322415563</c:v>
                </c:pt>
                <c:pt idx="65">
                  <c:v>0.359964090744812</c:v>
                </c:pt>
                <c:pt idx="66">
                  <c:v>0.350873747770083</c:v>
                </c:pt>
                <c:pt idx="67">
                  <c:v>0.339966548921268</c:v>
                </c:pt>
                <c:pt idx="68">
                  <c:v>0.328386146524898</c:v>
                </c:pt>
                <c:pt idx="69">
                  <c:v>0.316529193767774</c:v>
                </c:pt>
                <c:pt idx="70">
                  <c:v>0.30455932294021</c:v>
                </c:pt>
                <c:pt idx="71">
                  <c:v>0.292562671738297</c:v>
                </c:pt>
                <c:pt idx="72">
                  <c:v>0.280595463400671</c:v>
                </c:pt>
                <c:pt idx="73">
                  <c:v>0.268690649904285</c:v>
                </c:pt>
                <c:pt idx="74">
                  <c:v>0.277143694790616</c:v>
                </c:pt>
                <c:pt idx="75">
                  <c:v>0.273844120530896</c:v>
                </c:pt>
                <c:pt idx="76">
                  <c:v>0.26497160128427</c:v>
                </c:pt>
                <c:pt idx="77">
                  <c:v>0.2545412245238</c:v>
                </c:pt>
                <c:pt idx="78">
                  <c:v>0.243612519009385</c:v>
                </c:pt>
                <c:pt idx="79">
                  <c:v>0.232516906395359</c:v>
                </c:pt>
                <c:pt idx="80">
                  <c:v>0.221374730549261</c:v>
                </c:pt>
                <c:pt idx="81">
                  <c:v>0.226133533652175</c:v>
                </c:pt>
                <c:pt idx="82">
                  <c:v>0.205425410528601</c:v>
                </c:pt>
                <c:pt idx="83">
                  <c:v>0.191421420168911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44453400"/>
        <c:axId val="538771630"/>
      </c:lineChart>
      <c:catAx>
        <c:axId val="644453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8771630"/>
        <c:crosses val="autoZero"/>
        <c:auto val="1"/>
        <c:lblAlgn val="ctr"/>
        <c:lblOffset val="100"/>
        <c:noMultiLvlLbl val="0"/>
      </c:catAx>
      <c:valAx>
        <c:axId val="5387716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45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co2emission!$M$1</c:f>
              <c:strCache>
                <c:ptCount val="1"/>
                <c:pt idx="0">
                  <c:v>CO2emission_ACE1_default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co2emission!$M$2:$M$85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0.0199883391247698</c:v>
                </c:pt>
                <c:pt idx="5">
                  <c:v>0.0299397205569757</c:v>
                </c:pt>
                <c:pt idx="6">
                  <c:v>0.0398261583927485</c:v>
                </c:pt>
                <c:pt idx="7">
                  <c:v>0.0496173637818162</c:v>
                </c:pt>
                <c:pt idx="8">
                  <c:v>0.0592823430814366</c:v>
                </c:pt>
                <c:pt idx="9">
                  <c:v>0.0687852983774316</c:v>
                </c:pt>
                <c:pt idx="10">
                  <c:v>0.078781454681519</c:v>
                </c:pt>
                <c:pt idx="11">
                  <c:v>0.0903817541613501</c:v>
                </c:pt>
                <c:pt idx="12">
                  <c:v>0.103889100783053</c:v>
                </c:pt>
                <c:pt idx="13">
                  <c:v>0.119613305392969</c:v>
                </c:pt>
                <c:pt idx="14">
                  <c:v>0.137797150920192</c:v>
                </c:pt>
                <c:pt idx="15">
                  <c:v>0.158856047844571</c:v>
                </c:pt>
                <c:pt idx="16">
                  <c:v>0.183021193152817</c:v>
                </c:pt>
                <c:pt idx="17">
                  <c:v>0.210722857901148</c:v>
                </c:pt>
                <c:pt idx="18">
                  <c:v>0.242151543743491</c:v>
                </c:pt>
                <c:pt idx="19">
                  <c:v>0.277529435892326</c:v>
                </c:pt>
                <c:pt idx="20">
                  <c:v>0.316922193911031</c:v>
                </c:pt>
                <c:pt idx="21">
                  <c:v>0.360268862005566</c:v>
                </c:pt>
                <c:pt idx="22">
                  <c:v>0.407293917532381</c:v>
                </c:pt>
                <c:pt idx="23">
                  <c:v>0.457503283172609</c:v>
                </c:pt>
                <c:pt idx="24">
                  <c:v>0.510161318978866</c:v>
                </c:pt>
                <c:pt idx="25">
                  <c:v>0.564359776952903</c:v>
                </c:pt>
                <c:pt idx="26">
                  <c:v>0.61894708251273</c:v>
                </c:pt>
                <c:pt idx="27">
                  <c:v>0.672738945364378</c:v>
                </c:pt>
                <c:pt idx="28">
                  <c:v>0.724585140342483</c:v>
                </c:pt>
                <c:pt idx="29">
                  <c:v>0.773456680550579</c:v>
                </c:pt>
                <c:pt idx="30">
                  <c:v>0.818537193410779</c:v>
                </c:pt>
                <c:pt idx="31">
                  <c:v>0.859305967898717</c:v>
                </c:pt>
                <c:pt idx="32">
                  <c:v>0.895492784842044</c:v>
                </c:pt>
                <c:pt idx="33">
                  <c:v>0.927083972586776</c:v>
                </c:pt>
                <c:pt idx="34">
                  <c:v>0.954267008253437</c:v>
                </c:pt>
                <c:pt idx="35">
                  <c:v>0.977381935858293</c:v>
                </c:pt>
                <c:pt idx="36">
                  <c:v>0.996848425553735</c:v>
                </c:pt>
                <c:pt idx="37">
                  <c:v>1.01311541068947</c:v>
                </c:pt>
                <c:pt idx="38">
                  <c:v>1.02662773038979</c:v>
                </c:pt>
                <c:pt idx="39">
                  <c:v>1.03781067844258</c:v>
                </c:pt>
                <c:pt idx="40">
                  <c:v>1.04702636093308</c:v>
                </c:pt>
                <c:pt idx="41">
                  <c:v>1.05460933337704</c:v>
                </c:pt>
                <c:pt idx="42">
                  <c:v>1.06083813367945</c:v>
                </c:pt>
                <c:pt idx="43">
                  <c:v>1.06595468654908</c:v>
                </c:pt>
                <c:pt idx="44">
                  <c:v>1.07016020637832</c:v>
                </c:pt>
                <c:pt idx="45">
                  <c:v>1.07362275678622</c:v>
                </c:pt>
                <c:pt idx="46">
                  <c:v>1.0764719011388</c:v>
                </c:pt>
                <c:pt idx="47">
                  <c:v>1.078825514024</c:v>
                </c:pt>
                <c:pt idx="48">
                  <c:v>1.08077128014508</c:v>
                </c:pt>
                <c:pt idx="49">
                  <c:v>1.08238208786988</c:v>
                </c:pt>
                <c:pt idx="50">
                  <c:v>1.08372067271081</c:v>
                </c:pt>
                <c:pt idx="51">
                  <c:v>1.08483358351307</c:v>
                </c:pt>
                <c:pt idx="52">
                  <c:v>1.08576247132891</c:v>
                </c:pt>
                <c:pt idx="53">
                  <c:v>1.08653846292743</c:v>
                </c:pt>
                <c:pt idx="54">
                  <c:v>1.08718887272611</c:v>
                </c:pt>
                <c:pt idx="55">
                  <c:v>1.08773467560731</c:v>
                </c:pt>
                <c:pt idx="56">
                  <c:v>1.08819430294603</c:v>
                </c:pt>
                <c:pt idx="57">
                  <c:v>1.08858198054362</c:v>
                </c:pt>
                <c:pt idx="58">
                  <c:v>1.08891000735115</c:v>
                </c:pt>
                <c:pt idx="59">
                  <c:v>1.08918804430826</c:v>
                </c:pt>
                <c:pt idx="60">
                  <c:v>1.08942432619758</c:v>
                </c:pt>
                <c:pt idx="61">
                  <c:v>1.08962550554306</c:v>
                </c:pt>
                <c:pt idx="62">
                  <c:v>1.08979718125644</c:v>
                </c:pt>
                <c:pt idx="63">
                  <c:v>1.08994396405582</c:v>
                </c:pt>
                <c:pt idx="64">
                  <c:v>1.09006971657651</c:v>
                </c:pt>
                <c:pt idx="65">
                  <c:v>1.09017765415257</c:v>
                </c:pt>
                <c:pt idx="66">
                  <c:v>1.0902704786792</c:v>
                </c:pt>
                <c:pt idx="67">
                  <c:v>1.09035045084227</c:v>
                </c:pt>
                <c:pt idx="68">
                  <c:v>1.09041947425206</c:v>
                </c:pt>
                <c:pt idx="69">
                  <c:v>1.09047915211626</c:v>
                </c:pt>
                <c:pt idx="70">
                  <c:v>1.09053083880764</c:v>
                </c:pt>
                <c:pt idx="71">
                  <c:v>1.0905756802047</c:v>
                </c:pt>
                <c:pt idx="72">
                  <c:v>1.09061464786481</c:v>
                </c:pt>
                <c:pt idx="73">
                  <c:v>1.09064856697799</c:v>
                </c:pt>
                <c:pt idx="74">
                  <c:v>1.09067813971313</c:v>
                </c:pt>
                <c:pt idx="75">
                  <c:v>1.09070396471317</c:v>
                </c:pt>
                <c:pt idx="76">
                  <c:v>1.09072655312277</c:v>
                </c:pt>
                <c:pt idx="77">
                  <c:v>1.09074634184226</c:v>
                </c:pt>
                <c:pt idx="78">
                  <c:v>1.09076370513332</c:v>
                </c:pt>
                <c:pt idx="79">
                  <c:v>1.09077896404748</c:v>
                </c:pt>
                <c:pt idx="80">
                  <c:v>1.09079239443372</c:v>
                </c:pt>
                <c:pt idx="81">
                  <c:v>1.09080423365253</c:v>
                </c:pt>
                <c:pt idx="82">
                  <c:v>1.09081468624692</c:v>
                </c:pt>
                <c:pt idx="83">
                  <c:v>1.09082392873158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co2emission!$U$1</c:f>
              <c:strCache>
                <c:ptCount val="1"/>
                <c:pt idx="0">
                  <c:v>CO2emission_ACE1_slow2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co2emission!$U$2:$U$85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0.0199882893608139</c:v>
                </c:pt>
                <c:pt idx="5">
                  <c:v>0.0299396300801327</c:v>
                </c:pt>
                <c:pt idx="6">
                  <c:v>0.0398262007056293</c:v>
                </c:pt>
                <c:pt idx="7">
                  <c:v>0.0496174734016583</c:v>
                </c:pt>
                <c:pt idx="8">
                  <c:v>0.0592808092309857</c:v>
                </c:pt>
                <c:pt idx="9">
                  <c:v>0.0687853008644404</c:v>
                </c:pt>
                <c:pt idx="10">
                  <c:v>0.0788212862293769</c:v>
                </c:pt>
                <c:pt idx="11">
                  <c:v>0.0905997682303743</c:v>
                </c:pt>
                <c:pt idx="12">
                  <c:v>0.104339576827648</c:v>
                </c:pt>
                <c:pt idx="13">
                  <c:v>0.120390919119994</c:v>
                </c:pt>
                <c:pt idx="14">
                  <c:v>0.139153013245526</c:v>
                </c:pt>
                <c:pt idx="15">
                  <c:v>0.160848168496203</c:v>
                </c:pt>
                <c:pt idx="16">
                  <c:v>0.185905806635776</c:v>
                </c:pt>
                <c:pt idx="17">
                  <c:v>0.214830640990245</c:v>
                </c:pt>
                <c:pt idx="18">
                  <c:v>0.247779175273275</c:v>
                </c:pt>
                <c:pt idx="19">
                  <c:v>0.285188712686588</c:v>
                </c:pt>
                <c:pt idx="20">
                  <c:v>0.327309748175829</c:v>
                </c:pt>
                <c:pt idx="21">
                  <c:v>0.373813557157309</c:v>
                </c:pt>
                <c:pt idx="22">
                  <c:v>0.424706234519955</c:v>
                </c:pt>
                <c:pt idx="23">
                  <c:v>0.479381334729484</c:v>
                </c:pt>
                <c:pt idx="24">
                  <c:v>0.536881485119909</c:v>
                </c:pt>
                <c:pt idx="25">
                  <c:v>0.596239264890652</c:v>
                </c:pt>
                <c:pt idx="26">
                  <c:v>0.655889439796132</c:v>
                </c:pt>
                <c:pt idx="27">
                  <c:v>0.71420244904197</c:v>
                </c:pt>
                <c:pt idx="28">
                  <c:v>0.770014282043807</c:v>
                </c:pt>
                <c:pt idx="29">
                  <c:v>0.821782313874766</c:v>
                </c:pt>
                <c:pt idx="30">
                  <c:v>0.868614308522993</c:v>
                </c:pt>
                <c:pt idx="31">
                  <c:v>0.909768207879579</c:v>
                </c:pt>
                <c:pt idx="32">
                  <c:v>0.945244400423294</c:v>
                </c:pt>
                <c:pt idx="33">
                  <c:v>0.975110088987266</c:v>
                </c:pt>
                <c:pt idx="34">
                  <c:v>0.999755706210864</c:v>
                </c:pt>
                <c:pt idx="35">
                  <c:v>1.01979110880141</c:v>
                </c:pt>
                <c:pt idx="36">
                  <c:v>1.03580738664751</c:v>
                </c:pt>
                <c:pt idx="37">
                  <c:v>1.04848035837703</c:v>
                </c:pt>
                <c:pt idx="38">
                  <c:v>1.05840016355415</c:v>
                </c:pt>
                <c:pt idx="39">
                  <c:v>1.06611053850822</c:v>
                </c:pt>
                <c:pt idx="40">
                  <c:v>1.07206541480156</c:v>
                </c:pt>
                <c:pt idx="41">
                  <c:v>1.07664083008383</c:v>
                </c:pt>
                <c:pt idx="42">
                  <c:v>1.08013971677179</c:v>
                </c:pt>
                <c:pt idx="43">
                  <c:v>1.08280434032231</c:v>
                </c:pt>
                <c:pt idx="44">
                  <c:v>1.08482637302721</c:v>
                </c:pt>
                <c:pt idx="45">
                  <c:v>1.0863556927523</c:v>
                </c:pt>
                <c:pt idx="46">
                  <c:v>1.08750830924261</c:v>
                </c:pt>
                <c:pt idx="47">
                  <c:v>1.08837541587851</c:v>
                </c:pt>
                <c:pt idx="48">
                  <c:v>1.08902619789289</c:v>
                </c:pt>
                <c:pt idx="49">
                  <c:v>1.08951341268136</c:v>
                </c:pt>
                <c:pt idx="50">
                  <c:v>1.0898772730202</c:v>
                </c:pt>
                <c:pt idx="51">
                  <c:v>1.09014833545031</c:v>
                </c:pt>
                <c:pt idx="52">
                  <c:v>1.09034975350325</c:v>
                </c:pt>
                <c:pt idx="53">
                  <c:v>1.0904983320623</c:v>
                </c:pt>
                <c:pt idx="54">
                  <c:v>1.09060835256459</c:v>
                </c:pt>
                <c:pt idx="55">
                  <c:v>1.09068946584471</c:v>
                </c:pt>
                <c:pt idx="56">
                  <c:v>1.09074917509844</c:v>
                </c:pt>
                <c:pt idx="57">
                  <c:v>1.09079302000177</c:v>
                </c:pt>
                <c:pt idx="58">
                  <c:v>1.09082512567216</c:v>
                </c:pt>
                <c:pt idx="59">
                  <c:v>1.09084856308615</c:v>
                </c:pt>
                <c:pt idx="60">
                  <c:v>1.09086561682394</c:v>
                </c:pt>
                <c:pt idx="61">
                  <c:v>1.09087798309587</c:v>
                </c:pt>
                <c:pt idx="62">
                  <c:v>1.09088691815454</c:v>
                </c:pt>
                <c:pt idx="63">
                  <c:v>1.09089334990825</c:v>
                </c:pt>
                <c:pt idx="64">
                  <c:v>1.09089794099261</c:v>
                </c:pt>
                <c:pt idx="65">
                  <c:v>1.09090122365423</c:v>
                </c:pt>
                <c:pt idx="66">
                  <c:v>1.09090356450757</c:v>
                </c:pt>
                <c:pt idx="67">
                  <c:v>1.09090522600589</c:v>
                </c:pt>
                <c:pt idx="68">
                  <c:v>1.09090639972612</c:v>
                </c:pt>
                <c:pt idx="69">
                  <c:v>1.09090722523433</c:v>
                </c:pt>
                <c:pt idx="70">
                  <c:v>1.09090780337663</c:v>
                </c:pt>
                <c:pt idx="71">
                  <c:v>1.09090820420289</c:v>
                </c:pt>
                <c:pt idx="72">
                  <c:v>1.09090848274597</c:v>
                </c:pt>
                <c:pt idx="73">
                  <c:v>1.09090867609181</c:v>
                </c:pt>
                <c:pt idx="74">
                  <c:v>1.09090880902144</c:v>
                </c:pt>
                <c:pt idx="75">
                  <c:v>1.09090890010088</c:v>
                </c:pt>
                <c:pt idx="76">
                  <c:v>1.09090896236779</c:v>
                </c:pt>
                <c:pt idx="77">
                  <c:v>1.0909090046724</c:v>
                </c:pt>
                <c:pt idx="78">
                  <c:v>1.09090903322259</c:v>
                </c:pt>
                <c:pt idx="79">
                  <c:v>1.09090905246049</c:v>
                </c:pt>
                <c:pt idx="80">
                  <c:v>1.09090906543847</c:v>
                </c:pt>
                <c:pt idx="81">
                  <c:v>1.09090907407821</c:v>
                </c:pt>
                <c:pt idx="82">
                  <c:v>1.09090907979987</c:v>
                </c:pt>
                <c:pt idx="83">
                  <c:v>1.09090908360901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co2emission!$AC$1</c:f>
              <c:strCache>
                <c:ptCount val="1"/>
                <c:pt idx="0">
                  <c:v>CO2emission_ACE1_speed24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co2emission!$AC$2:$AC$85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0.0199883729425081</c:v>
                </c:pt>
                <c:pt idx="5">
                  <c:v>0.029940080600791</c:v>
                </c:pt>
                <c:pt idx="6">
                  <c:v>0.0398274078327836</c:v>
                </c:pt>
                <c:pt idx="7">
                  <c:v>0.0496218379132687</c:v>
                </c:pt>
                <c:pt idx="8">
                  <c:v>0.0592928695207215</c:v>
                </c:pt>
                <c:pt idx="9">
                  <c:v>0.0688083644336766</c:v>
                </c:pt>
                <c:pt idx="10">
                  <c:v>0.0784988370020396</c:v>
                </c:pt>
                <c:pt idx="11">
                  <c:v>0.0896775819522049</c:v>
                </c:pt>
                <c:pt idx="12">
                  <c:v>0.102483712679325</c:v>
                </c:pt>
                <c:pt idx="13">
                  <c:v>0.117139103403812</c:v>
                </c:pt>
                <c:pt idx="14">
                  <c:v>0.133853653554651</c:v>
                </c:pt>
                <c:pt idx="15">
                  <c:v>0.152817527478057</c:v>
                </c:pt>
                <c:pt idx="16">
                  <c:v>0.174258246445581</c:v>
                </c:pt>
                <c:pt idx="17">
                  <c:v>0.198323432321344</c:v>
                </c:pt>
                <c:pt idx="18">
                  <c:v>0.225120097533751</c:v>
                </c:pt>
                <c:pt idx="19">
                  <c:v>0.254781894508934</c:v>
                </c:pt>
                <c:pt idx="20">
                  <c:v>0.287279922580352</c:v>
                </c:pt>
                <c:pt idx="21">
                  <c:v>0.322562278329083</c:v>
                </c:pt>
                <c:pt idx="22">
                  <c:v>0.360460257148232</c:v>
                </c:pt>
                <c:pt idx="23">
                  <c:v>0.400694692828266</c:v>
                </c:pt>
                <c:pt idx="24">
                  <c:v>0.442874908261563</c:v>
                </c:pt>
                <c:pt idx="25">
                  <c:v>0.486512474590679</c:v>
                </c:pt>
                <c:pt idx="26">
                  <c:v>0.531041408814921</c:v>
                </c:pt>
                <c:pt idx="27">
                  <c:v>0.575832404215236</c:v>
                </c:pt>
                <c:pt idx="28">
                  <c:v>0.620255069137923</c:v>
                </c:pt>
                <c:pt idx="29">
                  <c:v>0.663652285453101</c:v>
                </c:pt>
                <c:pt idx="30">
                  <c:v>0.705468367439567</c:v>
                </c:pt>
                <c:pt idx="31">
                  <c:v>0.745209402843502</c:v>
                </c:pt>
                <c:pt idx="32">
                  <c:v>0.782506753587663</c:v>
                </c:pt>
                <c:pt idx="33">
                  <c:v>0.817074630095282</c:v>
                </c:pt>
                <c:pt idx="34">
                  <c:v>0.848755489049095</c:v>
                </c:pt>
                <c:pt idx="35">
                  <c:v>0.87751203420222</c:v>
                </c:pt>
                <c:pt idx="36">
                  <c:v>0.903392371872571</c:v>
                </c:pt>
                <c:pt idx="37">
                  <c:v>0.926511673568924</c:v>
                </c:pt>
                <c:pt idx="38">
                  <c:v>0.947033288114781</c:v>
                </c:pt>
                <c:pt idx="39">
                  <c:v>0.965151537643298</c:v>
                </c:pt>
                <c:pt idx="40">
                  <c:v>0.981077001402214</c:v>
                </c:pt>
                <c:pt idx="41">
                  <c:v>0.995024806148927</c:v>
                </c:pt>
                <c:pt idx="42">
                  <c:v>1.0072058671253</c:v>
                </c:pt>
                <c:pt idx="43">
                  <c:v>1.0178208576142</c:v>
                </c:pt>
                <c:pt idx="44">
                  <c:v>1.0270564210776</c:v>
                </c:pt>
                <c:pt idx="45">
                  <c:v>1.03508532935203</c:v>
                </c:pt>
                <c:pt idx="46">
                  <c:v>1.04206022787408</c:v>
                </c:pt>
                <c:pt idx="47">
                  <c:v>1.04811825703721</c:v>
                </c:pt>
                <c:pt idx="48">
                  <c:v>1.05338067245967</c:v>
                </c:pt>
                <c:pt idx="49">
                  <c:v>1.05795377355187</c:v>
                </c:pt>
                <c:pt idx="50">
                  <c:v>1.06193024252855</c:v>
                </c:pt>
                <c:pt idx="51">
                  <c:v>1.06539184337172</c:v>
                </c:pt>
                <c:pt idx="52">
                  <c:v>1.06840729468785</c:v>
                </c:pt>
                <c:pt idx="53">
                  <c:v>1.07103670161387</c:v>
                </c:pt>
                <c:pt idx="54">
                  <c:v>1.0733320745272</c:v>
                </c:pt>
                <c:pt idx="55">
                  <c:v>1.07533832627879</c:v>
                </c:pt>
                <c:pt idx="56">
                  <c:v>1.07709415327432</c:v>
                </c:pt>
                <c:pt idx="57">
                  <c:v>1.07863316797049</c:v>
                </c:pt>
                <c:pt idx="58">
                  <c:v>1.07998417185805</c:v>
                </c:pt>
                <c:pt idx="59">
                  <c:v>1.0811718875755</c:v>
                </c:pt>
                <c:pt idx="60">
                  <c:v>1.08221756804572</c:v>
                </c:pt>
                <c:pt idx="61">
                  <c:v>1.08313951173463</c:v>
                </c:pt>
                <c:pt idx="62">
                  <c:v>1.08395349811049</c:v>
                </c:pt>
                <c:pt idx="63">
                  <c:v>1.08467315052228</c:v>
                </c:pt>
                <c:pt idx="64">
                  <c:v>1.08531026079623</c:v>
                </c:pt>
                <c:pt idx="65">
                  <c:v>1.08587506269867</c:v>
                </c:pt>
                <c:pt idx="66">
                  <c:v>1.08637640531874</c:v>
                </c:pt>
                <c:pt idx="67">
                  <c:v>1.08682198731713</c:v>
                </c:pt>
                <c:pt idx="68">
                  <c:v>1.08721850957186</c:v>
                </c:pt>
                <c:pt idx="69">
                  <c:v>1.08757181175312</c:v>
                </c:pt>
                <c:pt idx="70">
                  <c:v>1.08788698997568</c:v>
                </c:pt>
                <c:pt idx="71">
                  <c:v>1.08816849765798</c:v>
                </c:pt>
                <c:pt idx="72">
                  <c:v>1.08842023183629</c:v>
                </c:pt>
                <c:pt idx="73">
                  <c:v>1.08864560709935</c:v>
                </c:pt>
                <c:pt idx="74">
                  <c:v>1.08884761922735</c:v>
                </c:pt>
                <c:pt idx="75">
                  <c:v>1.08902890904947</c:v>
                </c:pt>
                <c:pt idx="76">
                  <c:v>1.08919178267192</c:v>
                </c:pt>
                <c:pt idx="77">
                  <c:v>1.08933827532061</c:v>
                </c:pt>
                <c:pt idx="78">
                  <c:v>1.08947018193617</c:v>
                </c:pt>
                <c:pt idx="79">
                  <c:v>1.08958908670185</c:v>
                </c:pt>
                <c:pt idx="80">
                  <c:v>1.08969638925426</c:v>
                </c:pt>
                <c:pt idx="81">
                  <c:v>1.08979339647973</c:v>
                </c:pt>
                <c:pt idx="82">
                  <c:v>1.08988111994842</c:v>
                </c:pt>
                <c:pt idx="83">
                  <c:v>1.08996053725457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78799918"/>
        <c:axId val="376893210"/>
      </c:lineChart>
      <c:catAx>
        <c:axId val="4787999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6893210"/>
        <c:crosses val="autoZero"/>
        <c:auto val="1"/>
        <c:lblAlgn val="ctr"/>
        <c:lblOffset val="100"/>
        <c:noMultiLvlLbl val="0"/>
      </c:catAx>
      <c:valAx>
        <c:axId val="3768932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7999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co2emission!$N$1</c:f>
              <c:strCache>
                <c:ptCount val="1"/>
                <c:pt idx="0">
                  <c:v>CO2emission_ACE2_default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co2emission!$N$2:$N$85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0.0199929273216538</c:v>
                </c:pt>
                <c:pt idx="5">
                  <c:v>0.029963425157226</c:v>
                </c:pt>
                <c:pt idx="6">
                  <c:v>0.0398944374630614</c:v>
                </c:pt>
                <c:pt idx="7">
                  <c:v>0.0497673644277737</c:v>
                </c:pt>
                <c:pt idx="8">
                  <c:v>0.0595629404122024</c:v>
                </c:pt>
                <c:pt idx="9">
                  <c:v>0.0692586259301312</c:v>
                </c:pt>
                <c:pt idx="10">
                  <c:v>0.0788349661197427</c:v>
                </c:pt>
                <c:pt idx="11">
                  <c:v>0.0882710393673052</c:v>
                </c:pt>
                <c:pt idx="12">
                  <c:v>0.0975422173783238</c:v>
                </c:pt>
                <c:pt idx="13">
                  <c:v>0.106624833445628</c:v>
                </c:pt>
                <c:pt idx="14">
                  <c:v>0.116588291005329</c:v>
                </c:pt>
                <c:pt idx="15">
                  <c:v>0.127637378199763</c:v>
                </c:pt>
                <c:pt idx="16">
                  <c:v>0.13981206311611</c:v>
                </c:pt>
                <c:pt idx="17">
                  <c:v>0.153265337461104</c:v>
                </c:pt>
                <c:pt idx="18">
                  <c:v>0.16804781017205</c:v>
                </c:pt>
                <c:pt idx="19">
                  <c:v>0.184259968548144</c:v>
                </c:pt>
                <c:pt idx="20">
                  <c:v>0.201974684947309</c:v>
                </c:pt>
                <c:pt idx="21">
                  <c:v>0.221267172783955</c:v>
                </c:pt>
                <c:pt idx="22">
                  <c:v>0.24218815919567</c:v>
                </c:pt>
                <c:pt idx="23">
                  <c:v>0.264770137438819</c:v>
                </c:pt>
                <c:pt idx="24">
                  <c:v>0.289015585888786</c:v>
                </c:pt>
                <c:pt idx="25">
                  <c:v>0.314914621380947</c:v>
                </c:pt>
                <c:pt idx="26">
                  <c:v>0.342383007028605</c:v>
                </c:pt>
                <c:pt idx="27">
                  <c:v>0.371315785662817</c:v>
                </c:pt>
                <c:pt idx="28">
                  <c:v>0.401570220872164</c:v>
                </c:pt>
                <c:pt idx="29">
                  <c:v>0.432957517995476</c:v>
                </c:pt>
                <c:pt idx="30">
                  <c:v>0.465247739811862</c:v>
                </c:pt>
                <c:pt idx="31">
                  <c:v>0.498199439288992</c:v>
                </c:pt>
                <c:pt idx="32">
                  <c:v>0.531531107685144</c:v>
                </c:pt>
                <c:pt idx="33">
                  <c:v>0.564950532313527</c:v>
                </c:pt>
                <c:pt idx="34">
                  <c:v>0.598161146467444</c:v>
                </c:pt>
                <c:pt idx="35">
                  <c:v>0.630888005614368</c:v>
                </c:pt>
                <c:pt idx="36">
                  <c:v>0.662875612641919</c:v>
                </c:pt>
                <c:pt idx="37">
                  <c:v>0.693892594476194</c:v>
                </c:pt>
                <c:pt idx="38">
                  <c:v>0.723740641912859</c:v>
                </c:pt>
                <c:pt idx="39">
                  <c:v>0.752279245339684</c:v>
                </c:pt>
                <c:pt idx="40">
                  <c:v>0.77935367131469</c:v>
                </c:pt>
                <c:pt idx="41">
                  <c:v>0.80488923147921</c:v>
                </c:pt>
                <c:pt idx="42">
                  <c:v>0.82881938790938</c:v>
                </c:pt>
                <c:pt idx="43">
                  <c:v>0.851132882930808</c:v>
                </c:pt>
                <c:pt idx="44">
                  <c:v>0.87184583226123</c:v>
                </c:pt>
                <c:pt idx="45">
                  <c:v>0.891008286637768</c:v>
                </c:pt>
                <c:pt idx="46">
                  <c:v>0.908639738597761</c:v>
                </c:pt>
                <c:pt idx="47">
                  <c:v>0.924846252654701</c:v>
                </c:pt>
                <c:pt idx="48">
                  <c:v>0.939688016370955</c:v>
                </c:pt>
                <c:pt idx="49">
                  <c:v>0.953239639355627</c:v>
                </c:pt>
                <c:pt idx="50">
                  <c:v>0.965608672461095</c:v>
                </c:pt>
                <c:pt idx="51">
                  <c:v>0.976861419121996</c:v>
                </c:pt>
                <c:pt idx="52">
                  <c:v>0.987100789512462</c:v>
                </c:pt>
                <c:pt idx="53">
                  <c:v>0.996395734659485</c:v>
                </c:pt>
                <c:pt idx="54">
                  <c:v>1.0048343547726</c:v>
                </c:pt>
                <c:pt idx="55">
                  <c:v>1.01248251130857</c:v>
                </c:pt>
                <c:pt idx="56">
                  <c:v>1.01941921497029</c:v>
                </c:pt>
                <c:pt idx="57">
                  <c:v>1.02570490941165</c:v>
                </c:pt>
                <c:pt idx="58">
                  <c:v>1.03140508771071</c:v>
                </c:pt>
                <c:pt idx="59">
                  <c:v>1.03657205308918</c:v>
                </c:pt>
                <c:pt idx="60">
                  <c:v>1.04125827963344</c:v>
                </c:pt>
                <c:pt idx="61">
                  <c:v>1.0455085025167</c:v>
                </c:pt>
                <c:pt idx="62">
                  <c:v>1.04936500811096</c:v>
                </c:pt>
                <c:pt idx="63">
                  <c:v>1.05286518303572</c:v>
                </c:pt>
                <c:pt idx="64">
                  <c:v>1.05604332621295</c:v>
                </c:pt>
                <c:pt idx="65">
                  <c:v>1.05893017044773</c:v>
                </c:pt>
                <c:pt idx="66">
                  <c:v>1.06155373596555</c:v>
                </c:pt>
                <c:pt idx="67">
                  <c:v>1.06393914299433</c:v>
                </c:pt>
                <c:pt idx="68">
                  <c:v>1.0661091299065</c:v>
                </c:pt>
                <c:pt idx="69">
                  <c:v>1.06808417901787</c:v>
                </c:pt>
                <c:pt idx="70">
                  <c:v>1.06988278259774</c:v>
                </c:pt>
                <c:pt idx="71">
                  <c:v>1.07152161753248</c:v>
                </c:pt>
                <c:pt idx="72">
                  <c:v>1.07301573224006</c:v>
                </c:pt>
                <c:pt idx="73">
                  <c:v>1.07437870406747</c:v>
                </c:pt>
                <c:pt idx="74">
                  <c:v>1.0756227868847</c:v>
                </c:pt>
                <c:pt idx="75">
                  <c:v>1.0767590478586</c:v>
                </c:pt>
                <c:pt idx="76">
                  <c:v>1.07779748128148</c:v>
                </c:pt>
                <c:pt idx="77">
                  <c:v>1.07874710348688</c:v>
                </c:pt>
                <c:pt idx="78">
                  <c:v>1.07961606144037</c:v>
                </c:pt>
                <c:pt idx="79">
                  <c:v>1.08041171661692</c:v>
                </c:pt>
                <c:pt idx="80">
                  <c:v>1.08114072435567</c:v>
                </c:pt>
                <c:pt idx="81">
                  <c:v>1.08180910377656</c:v>
                </c:pt>
                <c:pt idx="82">
                  <c:v>1.08242230096017</c:v>
                </c:pt>
                <c:pt idx="83">
                  <c:v>1.0829852455471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co2emission!$V$1</c:f>
              <c:strCache>
                <c:ptCount val="1"/>
                <c:pt idx="0">
                  <c:v>CO2emission_ACE2_slow2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co2emission!$V$2:$V$85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0.0199928971382888</c:v>
                </c:pt>
                <c:pt idx="5">
                  <c:v>0.0299633702111772</c:v>
                </c:pt>
                <c:pt idx="6">
                  <c:v>0.0398944630217781</c:v>
                </c:pt>
                <c:pt idx="7">
                  <c:v>0.0497674310548892</c:v>
                </c:pt>
                <c:pt idx="8">
                  <c:v>0.0595620045749128</c:v>
                </c:pt>
                <c:pt idx="9">
                  <c:v>0.0692586246074717</c:v>
                </c:pt>
                <c:pt idx="10">
                  <c:v>0.078833276827956</c:v>
                </c:pt>
                <c:pt idx="11">
                  <c:v>0.0882609791408548</c:v>
                </c:pt>
                <c:pt idx="12">
                  <c:v>0.0975214027898037</c:v>
                </c:pt>
                <c:pt idx="13">
                  <c:v>0.106683825027887</c:v>
                </c:pt>
                <c:pt idx="14">
                  <c:v>0.116911002616085</c:v>
                </c:pt>
                <c:pt idx="15">
                  <c:v>0.128226682874805</c:v>
                </c:pt>
                <c:pt idx="16">
                  <c:v>0.140771607706383</c:v>
                </c:pt>
                <c:pt idx="17">
                  <c:v>0.154726550399406</c:v>
                </c:pt>
                <c:pt idx="18">
                  <c:v>0.170121073171459</c:v>
                </c:pt>
                <c:pt idx="19">
                  <c:v>0.187157501582094</c:v>
                </c:pt>
                <c:pt idx="20">
                  <c:v>0.205999518192703</c:v>
                </c:pt>
                <c:pt idx="21">
                  <c:v>0.226626492684418</c:v>
                </c:pt>
                <c:pt idx="22">
                  <c:v>0.249262011145592</c:v>
                </c:pt>
                <c:pt idx="23">
                  <c:v>0.273965687868028</c:v>
                </c:pt>
                <c:pt idx="24">
                  <c:v>0.300752172002303</c:v>
                </c:pt>
                <c:pt idx="25">
                  <c:v>0.329733757710598</c:v>
                </c:pt>
                <c:pt idx="26">
                  <c:v>0.36081066637322</c:v>
                </c:pt>
                <c:pt idx="27">
                  <c:v>0.393839146576875</c:v>
                </c:pt>
                <c:pt idx="28">
                  <c:v>0.428856956091334</c:v>
                </c:pt>
                <c:pt idx="29">
                  <c:v>0.465524408472308</c:v>
                </c:pt>
                <c:pt idx="30">
                  <c:v>0.503627433735702</c:v>
                </c:pt>
                <c:pt idx="31">
                  <c:v>0.542700778592106</c:v>
                </c:pt>
                <c:pt idx="32">
                  <c:v>0.582515173290611</c:v>
                </c:pt>
                <c:pt idx="33">
                  <c:v>0.622567213108761</c:v>
                </c:pt>
                <c:pt idx="34">
                  <c:v>0.662366565328102</c:v>
                </c:pt>
                <c:pt idx="35">
                  <c:v>0.701509806206907</c:v>
                </c:pt>
                <c:pt idx="36">
                  <c:v>0.739457793410294</c:v>
                </c:pt>
                <c:pt idx="37">
                  <c:v>0.775858707431983</c:v>
                </c:pt>
                <c:pt idx="38">
                  <c:v>0.81033332371886</c:v>
                </c:pt>
                <c:pt idx="39">
                  <c:v>0.84263928309688</c:v>
                </c:pt>
                <c:pt idx="40">
                  <c:v>0.872588156866981</c:v>
                </c:pt>
                <c:pt idx="41">
                  <c:v>0.900071871726652</c:v>
                </c:pt>
                <c:pt idx="42">
                  <c:v>0.925043335683555</c:v>
                </c:pt>
                <c:pt idx="43">
                  <c:v>0.947519546630894</c:v>
                </c:pt>
                <c:pt idx="44">
                  <c:v>0.967573692697536</c:v>
                </c:pt>
                <c:pt idx="45">
                  <c:v>0.985320320098191</c:v>
                </c:pt>
                <c:pt idx="46">
                  <c:v>1.00089887649425</c:v>
                </c:pt>
                <c:pt idx="47">
                  <c:v>1.01449146304558</c:v>
                </c:pt>
                <c:pt idx="48">
                  <c:v>1.02628024779258</c:v>
                </c:pt>
                <c:pt idx="49">
                  <c:v>1.03644731440133</c:v>
                </c:pt>
                <c:pt idx="50">
                  <c:v>1.04517093343641</c:v>
                </c:pt>
                <c:pt idx="51">
                  <c:v>1.05262103983831</c:v>
                </c:pt>
                <c:pt idx="52">
                  <c:v>1.05895616342336</c:v>
                </c:pt>
                <c:pt idx="53">
                  <c:v>1.06429667147977</c:v>
                </c:pt>
                <c:pt idx="54">
                  <c:v>1.06880791593298</c:v>
                </c:pt>
                <c:pt idx="55">
                  <c:v>1.07259962516655</c:v>
                </c:pt>
                <c:pt idx="56">
                  <c:v>1.07577976613172</c:v>
                </c:pt>
                <c:pt idx="57">
                  <c:v>1.07843989179319</c:v>
                </c:pt>
                <c:pt idx="58">
                  <c:v>1.08065902974874</c:v>
                </c:pt>
                <c:pt idx="59">
                  <c:v>1.08250522932052</c:v>
                </c:pt>
                <c:pt idx="60">
                  <c:v>1.0840369906381</c:v>
                </c:pt>
                <c:pt idx="61">
                  <c:v>1.08530442940928</c:v>
                </c:pt>
                <c:pt idx="62">
                  <c:v>1.08635031698976</c:v>
                </c:pt>
                <c:pt idx="63">
                  <c:v>1.08721103170966</c:v>
                </c:pt>
                <c:pt idx="64">
                  <c:v>1.08791423774458</c:v>
                </c:pt>
                <c:pt idx="65">
                  <c:v>1.08848997292077</c:v>
                </c:pt>
                <c:pt idx="66">
                  <c:v>1.08896064993328</c:v>
                </c:pt>
                <c:pt idx="67">
                  <c:v>1.08934422188498</c:v>
                </c:pt>
                <c:pt idx="68">
                  <c:v>1.0896557993129</c:v>
                </c:pt>
                <c:pt idx="69">
                  <c:v>1.08990816576314</c:v>
                </c:pt>
                <c:pt idx="70">
                  <c:v>1.09011202297536</c:v>
                </c:pt>
                <c:pt idx="71">
                  <c:v>1.09027530306834</c:v>
                </c:pt>
                <c:pt idx="72">
                  <c:v>1.09040646394542</c:v>
                </c:pt>
                <c:pt idx="73">
                  <c:v>1.09051185740253</c:v>
                </c:pt>
                <c:pt idx="74">
                  <c:v>1.09059591362798</c:v>
                </c:pt>
                <c:pt idx="75">
                  <c:v>1.09066280997304</c:v>
                </c:pt>
                <c:pt idx="76">
                  <c:v>1.09071600521415</c:v>
                </c:pt>
                <c:pt idx="77">
                  <c:v>1.09075811642134</c:v>
                </c:pt>
                <c:pt idx="78">
                  <c:v>1.0907912793272</c:v>
                </c:pt>
                <c:pt idx="79">
                  <c:v>1.0908173794854</c:v>
                </c:pt>
                <c:pt idx="80">
                  <c:v>1.09083797024293</c:v>
                </c:pt>
                <c:pt idx="81">
                  <c:v>1.09085403754285</c:v>
                </c:pt>
                <c:pt idx="82">
                  <c:v>1.09086651891806</c:v>
                </c:pt>
                <c:pt idx="83">
                  <c:v>1.09087626707929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co2emission!$AD$1</c:f>
              <c:strCache>
                <c:ptCount val="1"/>
                <c:pt idx="0">
                  <c:v>CO2emission_ACE2_speed24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co2emission!$AD$2:$AD$85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0.0199929478331489</c:v>
                </c:pt>
                <c:pt idx="5">
                  <c:v>0.0299636436644575</c:v>
                </c:pt>
                <c:pt idx="6">
                  <c:v>0.039895196913746</c:v>
                </c:pt>
                <c:pt idx="7">
                  <c:v>0.0497700895073503</c:v>
                </c:pt>
                <c:pt idx="8">
                  <c:v>0.0595693726321167</c:v>
                </c:pt>
                <c:pt idx="9">
                  <c:v>0.0692727764492392</c:v>
                </c:pt>
                <c:pt idx="10">
                  <c:v>0.0788620343225272</c:v>
                </c:pt>
                <c:pt idx="11">
                  <c:v>0.0883164256847349</c:v>
                </c:pt>
                <c:pt idx="12">
                  <c:v>0.0976197972809349</c:v>
                </c:pt>
                <c:pt idx="13">
                  <c:v>0.106752924433304</c:v>
                </c:pt>
                <c:pt idx="14">
                  <c:v>0.116090810361537</c:v>
                </c:pt>
                <c:pt idx="15">
                  <c:v>0.12625289590954</c:v>
                </c:pt>
                <c:pt idx="16">
                  <c:v>0.137303687772557</c:v>
                </c:pt>
                <c:pt idx="17">
                  <c:v>0.149273481862936</c:v>
                </c:pt>
                <c:pt idx="18">
                  <c:v>0.162188203214767</c:v>
                </c:pt>
                <c:pt idx="19">
                  <c:v>0.176106828875579</c:v>
                </c:pt>
                <c:pt idx="20">
                  <c:v>0.191036268934745</c:v>
                </c:pt>
                <c:pt idx="21">
                  <c:v>0.207005069473648</c:v>
                </c:pt>
                <c:pt idx="22">
                  <c:v>0.224023616969635</c:v>
                </c:pt>
                <c:pt idx="23">
                  <c:v>0.242090111372565</c:v>
                </c:pt>
                <c:pt idx="24">
                  <c:v>0.261189390738448</c:v>
                </c:pt>
                <c:pt idx="25">
                  <c:v>0.281294328013613</c:v>
                </c:pt>
                <c:pt idx="26">
                  <c:v>0.30236600044232</c:v>
                </c:pt>
                <c:pt idx="27">
                  <c:v>0.324347064216767</c:v>
                </c:pt>
                <c:pt idx="28">
                  <c:v>0.347175142614538</c:v>
                </c:pt>
                <c:pt idx="29">
                  <c:v>0.370751395945911</c:v>
                </c:pt>
                <c:pt idx="30">
                  <c:v>0.394987621037749</c:v>
                </c:pt>
                <c:pt idx="31">
                  <c:v>0.419772398977567</c:v>
                </c:pt>
                <c:pt idx="32">
                  <c:v>0.444997205916606</c:v>
                </c:pt>
                <c:pt idx="33">
                  <c:v>0.470525765441544</c:v>
                </c:pt>
                <c:pt idx="34">
                  <c:v>0.496223763316979</c:v>
                </c:pt>
                <c:pt idx="35">
                  <c:v>0.521966876561479</c:v>
                </c:pt>
                <c:pt idx="36">
                  <c:v>0.547631373687712</c:v>
                </c:pt>
                <c:pt idx="37">
                  <c:v>0.573096663778828</c:v>
                </c:pt>
                <c:pt idx="38">
                  <c:v>0.598247432602055</c:v>
                </c:pt>
                <c:pt idx="39">
                  <c:v>0.622975695827482</c:v>
                </c:pt>
                <c:pt idx="40">
                  <c:v>0.647182478266565</c:v>
                </c:pt>
                <c:pt idx="41">
                  <c:v>0.6707791413681</c:v>
                </c:pt>
                <c:pt idx="42">
                  <c:v>0.693688267796312</c:v>
                </c:pt>
                <c:pt idx="43">
                  <c:v>0.715844223222297</c:v>
                </c:pt>
                <c:pt idx="44">
                  <c:v>0.7371933805455</c:v>
                </c:pt>
                <c:pt idx="45">
                  <c:v>0.75769963669632</c:v>
                </c:pt>
                <c:pt idx="46">
                  <c:v>0.777331360353249</c:v>
                </c:pt>
                <c:pt idx="47">
                  <c:v>0.796070382064813</c:v>
                </c:pt>
                <c:pt idx="48">
                  <c:v>0.81390881258825</c:v>
                </c:pt>
                <c:pt idx="49">
                  <c:v>0.830847411644812</c:v>
                </c:pt>
                <c:pt idx="50">
                  <c:v>0.846894405104497</c:v>
                </c:pt>
                <c:pt idx="51">
                  <c:v>0.862069969860627</c:v>
                </c:pt>
                <c:pt idx="52">
                  <c:v>0.876390734763822</c:v>
                </c:pt>
                <c:pt idx="53">
                  <c:v>0.889880708053407</c:v>
                </c:pt>
                <c:pt idx="54">
                  <c:v>0.902568063527463</c:v>
                </c:pt>
                <c:pt idx="55">
                  <c:v>0.914484068354321</c:v>
                </c:pt>
                <c:pt idx="56">
                  <c:v>0.925661932185455</c:v>
                </c:pt>
                <c:pt idx="57">
                  <c:v>0.936138034938544</c:v>
                </c:pt>
                <c:pt idx="58">
                  <c:v>0.94594854054466</c:v>
                </c:pt>
                <c:pt idx="59">
                  <c:v>0.955129144315873</c:v>
                </c:pt>
                <c:pt idx="60">
                  <c:v>0.963714814953826</c:v>
                </c:pt>
                <c:pt idx="61">
                  <c:v>0.971739592515161</c:v>
                </c:pt>
                <c:pt idx="62">
                  <c:v>0.979236431776336</c:v>
                </c:pt>
                <c:pt idx="63">
                  <c:v>0.986237032806838</c:v>
                </c:pt>
                <c:pt idx="64">
                  <c:v>0.992771876038373</c:v>
                </c:pt>
                <c:pt idx="65">
                  <c:v>0.99887028841114</c:v>
                </c:pt>
                <c:pt idx="66">
                  <c:v>1.00455988426103</c:v>
                </c:pt>
                <c:pt idx="67">
                  <c:v>1.00986698621178</c:v>
                </c:pt>
                <c:pt idx="68">
                  <c:v>1.0148165424722</c:v>
                </c:pt>
                <c:pt idx="69">
                  <c:v>1.01943212985638</c:v>
                </c:pt>
                <c:pt idx="70">
                  <c:v>1.02373598036067</c:v>
                </c:pt>
                <c:pt idx="71">
                  <c:v>1.02774901990394</c:v>
                </c:pt>
                <c:pt idx="72">
                  <c:v>1.03149091296928</c:v>
                </c:pt>
                <c:pt idx="73">
                  <c:v>1.0349801106576</c:v>
                </c:pt>
                <c:pt idx="74">
                  <c:v>1.03823390408431</c:v>
                </c:pt>
                <c:pt idx="75">
                  <c:v>1.04126863245993</c:v>
                </c:pt>
                <c:pt idx="76">
                  <c:v>1.04409930033165</c:v>
                </c:pt>
                <c:pt idx="77">
                  <c:v>1.04673999558286</c:v>
                </c:pt>
                <c:pt idx="78">
                  <c:v>1.04920387721934</c:v>
                </c:pt>
                <c:pt idx="79">
                  <c:v>1.05150321586856</c:v>
                </c:pt>
                <c:pt idx="80">
                  <c:v>1.05364944437466</c:v>
                </c:pt>
                <c:pt idx="81">
                  <c:v>1.05565463392464</c:v>
                </c:pt>
                <c:pt idx="82">
                  <c:v>1.05752702392705</c:v>
                </c:pt>
                <c:pt idx="83">
                  <c:v>1.05927593541877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8436994"/>
        <c:axId val="239091881"/>
      </c:lineChart>
      <c:catAx>
        <c:axId val="8884369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091881"/>
        <c:crosses val="autoZero"/>
        <c:auto val="1"/>
        <c:lblAlgn val="ctr"/>
        <c:lblOffset val="100"/>
        <c:noMultiLvlLbl val="0"/>
      </c:catAx>
      <c:valAx>
        <c:axId val="239091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84369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co2emission!$C$1</c:f>
              <c:strCache>
                <c:ptCount val="1"/>
                <c:pt idx="0">
                  <c:v>E11_default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co2emission!$C$2:$C$85</c:f>
              <c:numCache>
                <c:formatCode>General</c:formatCode>
                <c:ptCount val="84"/>
                <c:pt idx="0">
                  <c:v>471.646972974352</c:v>
                </c:pt>
                <c:pt idx="1">
                  <c:v>462.533629875016</c:v>
                </c:pt>
                <c:pt idx="2">
                  <c:v>453.489397233217</c:v>
                </c:pt>
                <c:pt idx="3">
                  <c:v>443.513158651074</c:v>
                </c:pt>
                <c:pt idx="4">
                  <c:v>450.352072196442</c:v>
                </c:pt>
                <c:pt idx="5">
                  <c:v>454.472108196623</c:v>
                </c:pt>
                <c:pt idx="6">
                  <c:v>456.627592718872</c:v>
                </c:pt>
                <c:pt idx="7">
                  <c:v>456.86863330214</c:v>
                </c:pt>
                <c:pt idx="8">
                  <c:v>455.344510030432</c:v>
                </c:pt>
                <c:pt idx="9">
                  <c:v>449.896603129348</c:v>
                </c:pt>
                <c:pt idx="10">
                  <c:v>443.496292504415</c:v>
                </c:pt>
                <c:pt idx="11">
                  <c:v>434.831089027904</c:v>
                </c:pt>
                <c:pt idx="12">
                  <c:v>422.525206475389</c:v>
                </c:pt>
                <c:pt idx="13">
                  <c:v>407.341392052114</c:v>
                </c:pt>
                <c:pt idx="14">
                  <c:v>403.891879145219</c:v>
                </c:pt>
                <c:pt idx="15">
                  <c:v>395.356958039935</c:v>
                </c:pt>
                <c:pt idx="16">
                  <c:v>385.137994689062</c:v>
                </c:pt>
                <c:pt idx="17">
                  <c:v>369.918390780655</c:v>
                </c:pt>
                <c:pt idx="18">
                  <c:v>352.762202481707</c:v>
                </c:pt>
                <c:pt idx="19">
                  <c:v>332.106677940744</c:v>
                </c:pt>
                <c:pt idx="20">
                  <c:v>308.898060576113</c:v>
                </c:pt>
                <c:pt idx="21">
                  <c:v>283.17054411882</c:v>
                </c:pt>
                <c:pt idx="22">
                  <c:v>255.692855654222</c:v>
                </c:pt>
                <c:pt idx="23">
                  <c:v>226.952246891671</c:v>
                </c:pt>
                <c:pt idx="24">
                  <c:v>226.921108014888</c:v>
                </c:pt>
                <c:pt idx="25">
                  <c:v>208.116789435444</c:v>
                </c:pt>
                <c:pt idx="26">
                  <c:v>189.638946883549</c:v>
                </c:pt>
                <c:pt idx="27">
                  <c:v>171.18059194607</c:v>
                </c:pt>
                <c:pt idx="28">
                  <c:v>152.981168361343</c:v>
                </c:pt>
                <c:pt idx="29">
                  <c:v>135.673992957415</c:v>
                </c:pt>
                <c:pt idx="30">
                  <c:v>119.966295398006</c:v>
                </c:pt>
                <c:pt idx="31">
                  <c:v>104.310247104974</c:v>
                </c:pt>
                <c:pt idx="32">
                  <c:v>90.3992942661588</c:v>
                </c:pt>
                <c:pt idx="33">
                  <c:v>77.6318401708487</c:v>
                </c:pt>
                <c:pt idx="34">
                  <c:v>68.5960546840479</c:v>
                </c:pt>
                <c:pt idx="35">
                  <c:v>60.2942634253898</c:v>
                </c:pt>
                <c:pt idx="36">
                  <c:v>53.0312075381737</c:v>
                </c:pt>
                <c:pt idx="37">
                  <c:v>46.5192364223758</c:v>
                </c:pt>
                <c:pt idx="38">
                  <c:v>40.7922634284968</c:v>
                </c:pt>
                <c:pt idx="39">
                  <c:v>37.0486785019628</c:v>
                </c:pt>
                <c:pt idx="40">
                  <c:v>31.7407144176438</c:v>
                </c:pt>
                <c:pt idx="41">
                  <c:v>32.7202593535177</c:v>
                </c:pt>
                <c:pt idx="42">
                  <c:v>35.8492084476319</c:v>
                </c:pt>
                <c:pt idx="43">
                  <c:v>38.4258717703898</c:v>
                </c:pt>
                <c:pt idx="44">
                  <c:v>43.3807167030888</c:v>
                </c:pt>
                <c:pt idx="45">
                  <c:v>46.7782428467889</c:v>
                </c:pt>
                <c:pt idx="46">
                  <c:v>49.7783480704427</c:v>
                </c:pt>
                <c:pt idx="47">
                  <c:v>52.0663676475228</c:v>
                </c:pt>
                <c:pt idx="48">
                  <c:v>53.4760663179077</c:v>
                </c:pt>
                <c:pt idx="49">
                  <c:v>54.7540774381239</c:v>
                </c:pt>
                <c:pt idx="50">
                  <c:v>55.5774635223717</c:v>
                </c:pt>
                <c:pt idx="51">
                  <c:v>56.0550188455057</c:v>
                </c:pt>
                <c:pt idx="52">
                  <c:v>56.2259675827599</c:v>
                </c:pt>
                <c:pt idx="53">
                  <c:v>56.1140801282867</c:v>
                </c:pt>
                <c:pt idx="54">
                  <c:v>57.1256180107378</c:v>
                </c:pt>
                <c:pt idx="55">
                  <c:v>57.7644267630907</c:v>
                </c:pt>
                <c:pt idx="56">
                  <c:v>58.0872175084067</c:v>
                </c:pt>
                <c:pt idx="57">
                  <c:v>58.0918201654568</c:v>
                </c:pt>
                <c:pt idx="58">
                  <c:v>57.8594133866148</c:v>
                </c:pt>
                <c:pt idx="59">
                  <c:v>57.3675331446149</c:v>
                </c:pt>
                <c:pt idx="60">
                  <c:v>56.7071002700998</c:v>
                </c:pt>
                <c:pt idx="61">
                  <c:v>55.9808188695939</c:v>
                </c:pt>
                <c:pt idx="62">
                  <c:v>55.1125311733979</c:v>
                </c:pt>
                <c:pt idx="63">
                  <c:v>54.1266770469319</c:v>
                </c:pt>
                <c:pt idx="64">
                  <c:v>54.1054359930387</c:v>
                </c:pt>
                <c:pt idx="65">
                  <c:v>53.8257809897167</c:v>
                </c:pt>
                <c:pt idx="66">
                  <c:v>53.3147019696098</c:v>
                </c:pt>
                <c:pt idx="67">
                  <c:v>52.6069548767418</c:v>
                </c:pt>
                <c:pt idx="68">
                  <c:v>51.7307233751768</c:v>
                </c:pt>
                <c:pt idx="69">
                  <c:v>50.7120708472417</c:v>
                </c:pt>
                <c:pt idx="70">
                  <c:v>49.5729912349738</c:v>
                </c:pt>
                <c:pt idx="71">
                  <c:v>48.3324208550378</c:v>
                </c:pt>
                <c:pt idx="72">
                  <c:v>47.0064892485957</c:v>
                </c:pt>
                <c:pt idx="73">
                  <c:v>45.6089206889128</c:v>
                </c:pt>
                <c:pt idx="74">
                  <c:v>45.1057258753439</c:v>
                </c:pt>
                <c:pt idx="75">
                  <c:v>44.3869671404508</c:v>
                </c:pt>
                <c:pt idx="76">
                  <c:v>43.4839971907099</c:v>
                </c:pt>
                <c:pt idx="77">
                  <c:v>42.4249308585458</c:v>
                </c:pt>
                <c:pt idx="78">
                  <c:v>41.2344621909288</c:v>
                </c:pt>
                <c:pt idx="79">
                  <c:v>39.9338647334168</c:v>
                </c:pt>
                <c:pt idx="80">
                  <c:v>38.5414719473817</c:v>
                </c:pt>
                <c:pt idx="81">
                  <c:v>37.0730510726258</c:v>
                </c:pt>
                <c:pt idx="82">
                  <c:v>35.5421998284147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co2emission!$F$1</c:f>
              <c:strCache>
                <c:ptCount val="1"/>
                <c:pt idx="0">
                  <c:v>E11_slow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co2emission!$F$2:$F$85</c:f>
              <c:numCache>
                <c:formatCode>General</c:formatCode>
                <c:ptCount val="84"/>
                <c:pt idx="0">
                  <c:v>473.125428723292</c:v>
                </c:pt>
                <c:pt idx="1">
                  <c:v>475.907020557279</c:v>
                </c:pt>
                <c:pt idx="2">
                  <c:v>477.287868563599</c:v>
                </c:pt>
                <c:pt idx="3">
                  <c:v>478.714934242466</c:v>
                </c:pt>
                <c:pt idx="4">
                  <c:v>495.777163554304</c:v>
                </c:pt>
                <c:pt idx="5">
                  <c:v>511.634531452128</c:v>
                </c:pt>
                <c:pt idx="6">
                  <c:v>525.47330684116</c:v>
                </c:pt>
                <c:pt idx="7">
                  <c:v>537.075908280264</c:v>
                </c:pt>
                <c:pt idx="8">
                  <c:v>546.74868513365</c:v>
                </c:pt>
                <c:pt idx="9">
                  <c:v>555.948951070756</c:v>
                </c:pt>
                <c:pt idx="10">
                  <c:v>562.247118160435</c:v>
                </c:pt>
                <c:pt idx="11">
                  <c:v>566.375646779139</c:v>
                </c:pt>
                <c:pt idx="12">
                  <c:v>570.427898379117</c:v>
                </c:pt>
                <c:pt idx="13">
                  <c:v>572.512469855471</c:v>
                </c:pt>
                <c:pt idx="14">
                  <c:v>585.642395234101</c:v>
                </c:pt>
                <c:pt idx="15">
                  <c:v>599.091769765784</c:v>
                </c:pt>
                <c:pt idx="16">
                  <c:v>609.785542819538</c:v>
                </c:pt>
                <c:pt idx="17">
                  <c:v>617.171442784209</c:v>
                </c:pt>
                <c:pt idx="18">
                  <c:v>625.218859861492</c:v>
                </c:pt>
                <c:pt idx="19">
                  <c:v>629.808521033393</c:v>
                </c:pt>
                <c:pt idx="20">
                  <c:v>632.186705840177</c:v>
                </c:pt>
                <c:pt idx="21">
                  <c:v>636.146274902237</c:v>
                </c:pt>
                <c:pt idx="22">
                  <c:v>636.283509129165</c:v>
                </c:pt>
                <c:pt idx="23">
                  <c:v>635.814847557602</c:v>
                </c:pt>
                <c:pt idx="24">
                  <c:v>664.196840210574</c:v>
                </c:pt>
                <c:pt idx="25">
                  <c:v>673.524296124377</c:v>
                </c:pt>
                <c:pt idx="26">
                  <c:v>683.226032328671</c:v>
                </c:pt>
                <c:pt idx="27">
                  <c:v>693.018165288718</c:v>
                </c:pt>
                <c:pt idx="28">
                  <c:v>698.697007250592</c:v>
                </c:pt>
                <c:pt idx="29">
                  <c:v>705.84212507297</c:v>
                </c:pt>
                <c:pt idx="30">
                  <c:v>711.036975430192</c:v>
                </c:pt>
                <c:pt idx="31">
                  <c:v>717.606409569661</c:v>
                </c:pt>
                <c:pt idx="32">
                  <c:v>720.39565568488</c:v>
                </c:pt>
                <c:pt idx="33">
                  <c:v>723.545811274571</c:v>
                </c:pt>
                <c:pt idx="34">
                  <c:v>728.60660913671</c:v>
                </c:pt>
                <c:pt idx="35">
                  <c:v>731.816806562667</c:v>
                </c:pt>
                <c:pt idx="36">
                  <c:v>745.524635597103</c:v>
                </c:pt>
                <c:pt idx="37">
                  <c:v>759.875287052573</c:v>
                </c:pt>
                <c:pt idx="38">
                  <c:v>773.868226598595</c:v>
                </c:pt>
                <c:pt idx="39">
                  <c:v>787.55244189023</c:v>
                </c:pt>
                <c:pt idx="40">
                  <c:v>800.915719345758</c:v>
                </c:pt>
                <c:pt idx="41">
                  <c:v>813.978065537031</c:v>
                </c:pt>
                <c:pt idx="42">
                  <c:v>826.762468450554</c:v>
                </c:pt>
                <c:pt idx="43">
                  <c:v>839.287320870857</c:v>
                </c:pt>
                <c:pt idx="44">
                  <c:v>854.48499986843</c:v>
                </c:pt>
                <c:pt idx="45">
                  <c:v>869.376346545764</c:v>
                </c:pt>
                <c:pt idx="46">
                  <c:v>883.97875831461</c:v>
                </c:pt>
                <c:pt idx="47">
                  <c:v>898.286336551739</c:v>
                </c:pt>
                <c:pt idx="48">
                  <c:v>912.310864581342</c:v>
                </c:pt>
                <c:pt idx="49">
                  <c:v>926.054545928577</c:v>
                </c:pt>
                <c:pt idx="50">
                  <c:v>939.512500604362</c:v>
                </c:pt>
                <c:pt idx="51">
                  <c:v>952.674607146785</c:v>
                </c:pt>
                <c:pt idx="52">
                  <c:v>965.525407494296</c:v>
                </c:pt>
                <c:pt idx="53">
                  <c:v>978.101234331031</c:v>
                </c:pt>
                <c:pt idx="54">
                  <c:v>991.581448856246</c:v>
                </c:pt>
                <c:pt idx="55">
                  <c:v>1004.65711097148</c:v>
                </c:pt>
                <c:pt idx="56">
                  <c:v>1017.23807969016</c:v>
                </c:pt>
                <c:pt idx="57">
                  <c:v>1029.29998790759</c:v>
                </c:pt>
                <c:pt idx="58">
                  <c:v>1040.80840914034</c:v>
                </c:pt>
                <c:pt idx="59">
                  <c:v>1051.7289579502</c:v>
                </c:pt>
                <c:pt idx="60">
                  <c:v>1062.0281796309</c:v>
                </c:pt>
                <c:pt idx="61">
                  <c:v>1071.6760957006</c:v>
                </c:pt>
                <c:pt idx="62">
                  <c:v>1080.64785252044</c:v>
                </c:pt>
                <c:pt idx="63">
                  <c:v>1088.92473441386</c:v>
                </c:pt>
                <c:pt idx="64">
                  <c:v>1097.7231781632</c:v>
                </c:pt>
                <c:pt idx="65">
                  <c:v>1105.66420207257</c:v>
                </c:pt>
                <c:pt idx="66">
                  <c:v>1112.83708265176</c:v>
                </c:pt>
                <c:pt idx="67">
                  <c:v>1119.28914181472</c:v>
                </c:pt>
                <c:pt idx="68">
                  <c:v>1125.03607699434</c:v>
                </c:pt>
                <c:pt idx="69">
                  <c:v>1130.09027370828</c:v>
                </c:pt>
                <c:pt idx="70">
                  <c:v>1134.47270769864</c:v>
                </c:pt>
                <c:pt idx="71">
                  <c:v>1138.341577949</c:v>
                </c:pt>
                <c:pt idx="72">
                  <c:v>1141.46605942153</c:v>
                </c:pt>
                <c:pt idx="73">
                  <c:v>1143.94747898716</c:v>
                </c:pt>
                <c:pt idx="74">
                  <c:v>1147.0204878537</c:v>
                </c:pt>
                <c:pt idx="75">
                  <c:v>1149.52972065158</c:v>
                </c:pt>
                <c:pt idx="76">
                  <c:v>1151.48202454112</c:v>
                </c:pt>
                <c:pt idx="77">
                  <c:v>1152.99436292511</c:v>
                </c:pt>
                <c:pt idx="78">
                  <c:v>1154.10901826334</c:v>
                </c:pt>
                <c:pt idx="79">
                  <c:v>1154.74853196568</c:v>
                </c:pt>
                <c:pt idx="80">
                  <c:v>1154.87071516328</c:v>
                </c:pt>
                <c:pt idx="81">
                  <c:v>1154.81223515334</c:v>
                </c:pt>
                <c:pt idx="82">
                  <c:v>1154.43859779679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co2emission!$H$1</c:f>
              <c:strCache>
                <c:ptCount val="1"/>
                <c:pt idx="0">
                  <c:v>E11_speed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co2emission!$H$2:$H$85</c:f>
              <c:numCache>
                <c:formatCode>General</c:formatCode>
                <c:ptCount val="84"/>
                <c:pt idx="0">
                  <c:v>469.79153704359</c:v>
                </c:pt>
                <c:pt idx="1">
                  <c:v>441.872351181767</c:v>
                </c:pt>
                <c:pt idx="2">
                  <c:v>398.079879122548</c:v>
                </c:pt>
                <c:pt idx="3">
                  <c:v>333.124421931324</c:v>
                </c:pt>
                <c:pt idx="4">
                  <c:v>264.78295572998</c:v>
                </c:pt>
                <c:pt idx="5">
                  <c:v>188.584371594812</c:v>
                </c:pt>
                <c:pt idx="6">
                  <c:v>125.237765938269</c:v>
                </c:pt>
                <c:pt idx="7">
                  <c:v>83.5547159345447</c:v>
                </c:pt>
                <c:pt idx="8">
                  <c:v>59.3268473329438</c:v>
                </c:pt>
                <c:pt idx="9">
                  <c:v>45.3879057637571</c:v>
                </c:pt>
                <c:pt idx="10">
                  <c:v>37.6266856360448</c:v>
                </c:pt>
                <c:pt idx="11">
                  <c:v>31.7798515626564</c:v>
                </c:pt>
                <c:pt idx="12">
                  <c:v>27.8924904150016</c:v>
                </c:pt>
                <c:pt idx="13">
                  <c:v>23.5038162104063</c:v>
                </c:pt>
                <c:pt idx="14">
                  <c:v>31.3249922688514</c:v>
                </c:pt>
                <c:pt idx="15">
                  <c:v>32.5548758731052</c:v>
                </c:pt>
                <c:pt idx="16">
                  <c:v>31.4995663041607</c:v>
                </c:pt>
                <c:pt idx="17">
                  <c:v>30.0527516036101</c:v>
                </c:pt>
                <c:pt idx="18">
                  <c:v>27.4811059463217</c:v>
                </c:pt>
                <c:pt idx="19">
                  <c:v>23.7566352781445</c:v>
                </c:pt>
                <c:pt idx="20">
                  <c:v>21.5524139343145</c:v>
                </c:pt>
                <c:pt idx="21">
                  <c:v>18.3674634541824</c:v>
                </c:pt>
                <c:pt idx="22">
                  <c:v>15.5599992303299</c:v>
                </c:pt>
                <c:pt idx="23">
                  <c:v>13.0055531054592</c:v>
                </c:pt>
                <c:pt idx="24">
                  <c:v>39.0821199874636</c:v>
                </c:pt>
                <c:pt idx="25">
                  <c:v>33.8842247018972</c:v>
                </c:pt>
                <c:pt idx="26">
                  <c:v>31.5334624802205</c:v>
                </c:pt>
                <c:pt idx="27">
                  <c:v>29.5879933327454</c:v>
                </c:pt>
                <c:pt idx="28">
                  <c:v>28.2369074708632</c:v>
                </c:pt>
                <c:pt idx="29">
                  <c:v>26.1942894751083</c:v>
                </c:pt>
                <c:pt idx="30">
                  <c:v>25.9165505204632</c:v>
                </c:pt>
                <c:pt idx="31">
                  <c:v>24.8138937492667</c:v>
                </c:pt>
                <c:pt idx="32">
                  <c:v>23.3188682259483</c:v>
                </c:pt>
                <c:pt idx="33">
                  <c:v>21.3948760946022</c:v>
                </c:pt>
                <c:pt idx="34">
                  <c:v>21.9959812206424</c:v>
                </c:pt>
                <c:pt idx="35">
                  <c:v>21.5034106989219</c:v>
                </c:pt>
                <c:pt idx="36">
                  <c:v>20.6307657372684</c:v>
                </c:pt>
                <c:pt idx="37">
                  <c:v>19.6223428714855</c:v>
                </c:pt>
                <c:pt idx="38">
                  <c:v>18.5722144244276</c:v>
                </c:pt>
                <c:pt idx="39">
                  <c:v>17.5218495111432</c:v>
                </c:pt>
                <c:pt idx="40">
                  <c:v>16.5050534538582</c:v>
                </c:pt>
                <c:pt idx="41">
                  <c:v>15.5148467105791</c:v>
                </c:pt>
                <c:pt idx="42">
                  <c:v>14.5459353558033</c:v>
                </c:pt>
                <c:pt idx="43">
                  <c:v>13.6045019825086</c:v>
                </c:pt>
                <c:pt idx="44">
                  <c:v>15.4079818660336</c:v>
                </c:pt>
                <c:pt idx="45">
                  <c:v>15.6552001022705</c:v>
                </c:pt>
                <c:pt idx="46">
                  <c:v>15.0340768646245</c:v>
                </c:pt>
                <c:pt idx="47">
                  <c:v>14.2239117076691</c:v>
                </c:pt>
                <c:pt idx="48">
                  <c:v>13.3899806900125</c:v>
                </c:pt>
                <c:pt idx="49">
                  <c:v>12.5592337978329</c:v>
                </c:pt>
                <c:pt idx="50">
                  <c:v>16.3916511463489</c:v>
                </c:pt>
                <c:pt idx="51">
                  <c:v>18.5094202374821</c:v>
                </c:pt>
                <c:pt idx="52">
                  <c:v>19.0373816992974</c:v>
                </c:pt>
                <c:pt idx="53">
                  <c:v>19.0338525100305</c:v>
                </c:pt>
                <c:pt idx="54">
                  <c:v>19.9817264248449</c:v>
                </c:pt>
                <c:pt idx="55">
                  <c:v>20.0988023464553</c:v>
                </c:pt>
                <c:pt idx="56">
                  <c:v>19.9027852735571</c:v>
                </c:pt>
                <c:pt idx="57">
                  <c:v>19.5707154251412</c:v>
                </c:pt>
                <c:pt idx="58">
                  <c:v>19.1685227891362</c:v>
                </c:pt>
                <c:pt idx="59">
                  <c:v>18.7240641913056</c:v>
                </c:pt>
                <c:pt idx="60">
                  <c:v>18.2513681837451</c:v>
                </c:pt>
                <c:pt idx="61">
                  <c:v>17.7590424022931</c:v>
                </c:pt>
                <c:pt idx="62">
                  <c:v>17.2549823447207</c:v>
                </c:pt>
                <c:pt idx="63">
                  <c:v>16.7621959106452</c:v>
                </c:pt>
                <c:pt idx="64">
                  <c:v>17.2688719037609</c:v>
                </c:pt>
                <c:pt idx="65">
                  <c:v>17.1211803363322</c:v>
                </c:pt>
                <c:pt idx="66">
                  <c:v>16.7601130046405</c:v>
                </c:pt>
                <c:pt idx="67">
                  <c:v>16.3235813370064</c:v>
                </c:pt>
                <c:pt idx="68">
                  <c:v>15.8555555892858</c:v>
                </c:pt>
                <c:pt idx="69">
                  <c:v>15.371906222002</c:v>
                </c:pt>
                <c:pt idx="70">
                  <c:v>14.8797431273475</c:v>
                </c:pt>
                <c:pt idx="71">
                  <c:v>14.3830119566138</c:v>
                </c:pt>
                <c:pt idx="72">
                  <c:v>13.8842312804794</c:v>
                </c:pt>
                <c:pt idx="73">
                  <c:v>13.3854007338492</c:v>
                </c:pt>
                <c:pt idx="74">
                  <c:v>13.8303931440231</c:v>
                </c:pt>
                <c:pt idx="75">
                  <c:v>13.6494938944809</c:v>
                </c:pt>
                <c:pt idx="76">
                  <c:v>13.2760376618856</c:v>
                </c:pt>
                <c:pt idx="77">
                  <c:v>12.8415854629273</c:v>
                </c:pt>
                <c:pt idx="78">
                  <c:v>12.3847294017188</c:v>
                </c:pt>
                <c:pt idx="79">
                  <c:v>11.9179521776842</c:v>
                </c:pt>
                <c:pt idx="80">
                  <c:v>11.4459528144188</c:v>
                </c:pt>
                <c:pt idx="81">
                  <c:v>10.332527597874</c:v>
                </c:pt>
                <c:pt idx="82">
                  <c:v>9.60490006680784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92242096"/>
        <c:axId val="208340328"/>
      </c:lineChart>
      <c:catAx>
        <c:axId val="392242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340328"/>
        <c:crosses val="autoZero"/>
        <c:auto val="1"/>
        <c:lblAlgn val="ctr"/>
        <c:lblOffset val="100"/>
        <c:noMultiLvlLbl val="0"/>
      </c:catAx>
      <c:valAx>
        <c:axId val="20834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2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re!$C$1</c:f>
              <c:strCache>
                <c:ptCount val="1"/>
                <c:pt idx="0">
                  <c:v>re_speed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re!$C$2:$C$85</c:f>
              <c:numCache>
                <c:formatCode>General</c:formatCode>
                <c:ptCount val="84"/>
                <c:pt idx="0">
                  <c:v>0.994032720271071</c:v>
                </c:pt>
                <c:pt idx="1">
                  <c:v>0.988658762653683</c:v>
                </c:pt>
                <c:pt idx="2">
                  <c:v>0.982452239350574</c:v>
                </c:pt>
                <c:pt idx="3">
                  <c:v>0.977009304917696</c:v>
                </c:pt>
                <c:pt idx="4">
                  <c:v>0.971056252120916</c:v>
                </c:pt>
                <c:pt idx="5">
                  <c:v>0.964491975190542</c:v>
                </c:pt>
                <c:pt idx="6">
                  <c:v>0.956962304846902</c:v>
                </c:pt>
                <c:pt idx="7">
                  <c:v>0.950675374984691</c:v>
                </c:pt>
                <c:pt idx="8">
                  <c:v>0.943664948194537</c:v>
                </c:pt>
                <c:pt idx="9">
                  <c:v>0.93549761788214</c:v>
                </c:pt>
                <c:pt idx="10">
                  <c:v>0.928776091750058</c:v>
                </c:pt>
                <c:pt idx="11">
                  <c:v>0.92077440522655</c:v>
                </c:pt>
                <c:pt idx="12">
                  <c:v>0.91470040822494</c:v>
                </c:pt>
                <c:pt idx="13">
                  <c:v>0.907610818326373</c:v>
                </c:pt>
                <c:pt idx="14">
                  <c:v>0.900293717468288</c:v>
                </c:pt>
                <c:pt idx="15">
                  <c:v>0.893458832018819</c:v>
                </c:pt>
                <c:pt idx="16">
                  <c:v>0.885397612633717</c:v>
                </c:pt>
                <c:pt idx="17">
                  <c:v>0.878369713550463</c:v>
                </c:pt>
                <c:pt idx="18">
                  <c:v>0.872530200412913</c:v>
                </c:pt>
                <c:pt idx="19">
                  <c:v>0.864697751804464</c:v>
                </c:pt>
                <c:pt idx="20">
                  <c:v>0.858917483260319</c:v>
                </c:pt>
                <c:pt idx="21">
                  <c:v>0.85238139320964</c:v>
                </c:pt>
                <c:pt idx="22">
                  <c:v>0.845865112579134</c:v>
                </c:pt>
                <c:pt idx="23">
                  <c:v>0.83940924475046</c:v>
                </c:pt>
                <c:pt idx="24">
                  <c:v>0.832959580581926</c:v>
                </c:pt>
                <c:pt idx="25">
                  <c:v>0.826756681837564</c:v>
                </c:pt>
                <c:pt idx="26">
                  <c:v>0.821413181097211</c:v>
                </c:pt>
                <c:pt idx="27">
                  <c:v>0.815070066797026</c:v>
                </c:pt>
                <c:pt idx="28">
                  <c:v>0.810290551600419</c:v>
                </c:pt>
                <c:pt idx="29">
                  <c:v>0.803754964759798</c:v>
                </c:pt>
                <c:pt idx="30">
                  <c:v>0.798611439571541</c:v>
                </c:pt>
                <c:pt idx="31">
                  <c:v>0.793470471084466</c:v>
                </c:pt>
                <c:pt idx="32">
                  <c:v>0.789069950126899</c:v>
                </c:pt>
                <c:pt idx="33">
                  <c:v>0.784277655547699</c:v>
                </c:pt>
                <c:pt idx="34">
                  <c:v>0.779581056490449</c:v>
                </c:pt>
                <c:pt idx="35">
                  <c:v>0.774972465184465</c:v>
                </c:pt>
                <c:pt idx="36">
                  <c:v>0.770454234226058</c:v>
                </c:pt>
                <c:pt idx="37">
                  <c:v>0.766022599922178</c:v>
                </c:pt>
                <c:pt idx="38">
                  <c:v>0.761673081096613</c:v>
                </c:pt>
                <c:pt idx="39">
                  <c:v>0.757404868994261</c:v>
                </c:pt>
                <c:pt idx="40">
                  <c:v>0.753230966182018</c:v>
                </c:pt>
                <c:pt idx="41">
                  <c:v>0.749146653825777</c:v>
                </c:pt>
                <c:pt idx="42">
                  <c:v>0.745144529618885</c:v>
                </c:pt>
                <c:pt idx="43">
                  <c:v>0.741223477369655</c:v>
                </c:pt>
                <c:pt idx="44">
                  <c:v>0.737339701251952</c:v>
                </c:pt>
                <c:pt idx="45">
                  <c:v>0.733730553081229</c:v>
                </c:pt>
                <c:pt idx="46">
                  <c:v>0.730056054253233</c:v>
                </c:pt>
                <c:pt idx="47">
                  <c:v>0.726391956507096</c:v>
                </c:pt>
                <c:pt idx="48">
                  <c:v>0.722770573126504</c:v>
                </c:pt>
                <c:pt idx="49">
                  <c:v>0.719199737549214</c:v>
                </c:pt>
                <c:pt idx="50">
                  <c:v>0.718928817798718</c:v>
                </c:pt>
                <c:pt idx="51">
                  <c:v>0.719601029203244</c:v>
                </c:pt>
                <c:pt idx="52">
                  <c:v>0.720296101492725</c:v>
                </c:pt>
                <c:pt idx="53">
                  <c:v>0.721014250420596</c:v>
                </c:pt>
                <c:pt idx="54">
                  <c:v>0.721730092766735</c:v>
                </c:pt>
                <c:pt idx="55">
                  <c:v>0.722468824925837</c:v>
                </c:pt>
                <c:pt idx="56">
                  <c:v>0.723230608210846</c:v>
                </c:pt>
                <c:pt idx="57">
                  <c:v>0.72401576472407</c:v>
                </c:pt>
                <c:pt idx="58">
                  <c:v>0.724824561572213</c:v>
                </c:pt>
                <c:pt idx="59">
                  <c:v>0.725657211069026</c:v>
                </c:pt>
                <c:pt idx="60">
                  <c:v>0.726513866112362</c:v>
                </c:pt>
                <c:pt idx="61">
                  <c:v>0.727394616146349</c:v>
                </c:pt>
                <c:pt idx="62">
                  <c:v>0.728298658146473</c:v>
                </c:pt>
                <c:pt idx="63">
                  <c:v>0.729225429734904</c:v>
                </c:pt>
                <c:pt idx="64">
                  <c:v>0.730147190896163</c:v>
                </c:pt>
                <c:pt idx="65">
                  <c:v>0.731090575797187</c:v>
                </c:pt>
                <c:pt idx="66">
                  <c:v>0.732055211412671</c:v>
                </c:pt>
                <c:pt idx="67">
                  <c:v>0.733040667710354</c:v>
                </c:pt>
                <c:pt idx="68">
                  <c:v>0.734046444070671</c:v>
                </c:pt>
                <c:pt idx="69">
                  <c:v>0.735071966883964</c:v>
                </c:pt>
                <c:pt idx="70">
                  <c:v>0.736116589852192</c:v>
                </c:pt>
                <c:pt idx="71">
                  <c:v>0.737179595857808</c:v>
                </c:pt>
                <c:pt idx="72">
                  <c:v>0.738260199561598</c:v>
                </c:pt>
                <c:pt idx="73">
                  <c:v>0.739357550398452</c:v>
                </c:pt>
                <c:pt idx="74">
                  <c:v>0.74043920373486</c:v>
                </c:pt>
                <c:pt idx="75">
                  <c:v>0.741535135198194</c:v>
                </c:pt>
                <c:pt idx="76">
                  <c:v>0.742644285147303</c:v>
                </c:pt>
                <c:pt idx="77">
                  <c:v>0.743765576674379</c:v>
                </c:pt>
                <c:pt idx="78">
                  <c:v>0.744897898416726</c:v>
                </c:pt>
                <c:pt idx="79">
                  <c:v>0.746040105746383</c:v>
                </c:pt>
                <c:pt idx="80">
                  <c:v>0.747191026675747</c:v>
                </c:pt>
                <c:pt idx="81">
                  <c:v>0.748350427180964</c:v>
                </c:pt>
                <c:pt idx="82">
                  <c:v>0.749516091356889</c:v>
                </c:pt>
                <c:pt idx="83">
                  <c:v>0.750686862471767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re!$E$1</c:f>
              <c:strCache>
                <c:ptCount val="1"/>
                <c:pt idx="0">
                  <c:v>re_default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re!$E$2:$E$85</c:f>
              <c:numCache>
                <c:formatCode>General</c:formatCode>
                <c:ptCount val="84"/>
                <c:pt idx="0">
                  <c:v>0.994032720271071</c:v>
                </c:pt>
                <c:pt idx="1">
                  <c:v>0.987612914733543</c:v>
                </c:pt>
                <c:pt idx="2">
                  <c:v>0.982375061943488</c:v>
                </c:pt>
                <c:pt idx="3">
                  <c:v>0.976968324813267</c:v>
                </c:pt>
                <c:pt idx="4">
                  <c:v>0.97140873554571</c:v>
                </c:pt>
                <c:pt idx="5">
                  <c:v>0.964740280527042</c:v>
                </c:pt>
                <c:pt idx="6">
                  <c:v>0.957778545531027</c:v>
                </c:pt>
                <c:pt idx="7">
                  <c:v>0.950523366655157</c:v>
                </c:pt>
                <c:pt idx="8">
                  <c:v>0.943856735609065</c:v>
                </c:pt>
                <c:pt idx="9">
                  <c:v>0.935147282770637</c:v>
                </c:pt>
                <c:pt idx="10">
                  <c:v>0.928352141622373</c:v>
                </c:pt>
                <c:pt idx="11">
                  <c:v>0.921750117175565</c:v>
                </c:pt>
                <c:pt idx="12">
                  <c:v>0.913574639551351</c:v>
                </c:pt>
                <c:pt idx="13">
                  <c:v>0.904791261645963</c:v>
                </c:pt>
                <c:pt idx="14">
                  <c:v>0.897411493605544</c:v>
                </c:pt>
                <c:pt idx="15">
                  <c:v>0.888048459987399</c:v>
                </c:pt>
                <c:pt idx="16">
                  <c:v>0.880631446030321</c:v>
                </c:pt>
                <c:pt idx="17">
                  <c:v>0.871141039061871</c:v>
                </c:pt>
                <c:pt idx="18">
                  <c:v>0.863213706183154</c:v>
                </c:pt>
                <c:pt idx="19">
                  <c:v>0.854927314837474</c:v>
                </c:pt>
                <c:pt idx="20">
                  <c:v>0.846970687294197</c:v>
                </c:pt>
                <c:pt idx="21">
                  <c:v>0.838891577517676</c:v>
                </c:pt>
                <c:pt idx="22">
                  <c:v>0.830957577013181</c:v>
                </c:pt>
                <c:pt idx="23">
                  <c:v>0.823056619625168</c:v>
                </c:pt>
                <c:pt idx="24">
                  <c:v>0.815190427482265</c:v>
                </c:pt>
                <c:pt idx="25">
                  <c:v>0.806851842319133</c:v>
                </c:pt>
                <c:pt idx="26">
                  <c:v>0.799334720499095</c:v>
                </c:pt>
                <c:pt idx="27">
                  <c:v>0.792010790030117</c:v>
                </c:pt>
                <c:pt idx="28">
                  <c:v>0.784754576384769</c:v>
                </c:pt>
                <c:pt idx="29">
                  <c:v>0.777845038211608</c:v>
                </c:pt>
                <c:pt idx="30">
                  <c:v>0.771727080019777</c:v>
                </c:pt>
                <c:pt idx="31">
                  <c:v>0.764927563300598</c:v>
                </c:pt>
                <c:pt idx="32">
                  <c:v>0.758676650877818</c:v>
                </c:pt>
                <c:pt idx="33">
                  <c:v>0.752466545798307</c:v>
                </c:pt>
                <c:pt idx="34">
                  <c:v>0.746543276729527</c:v>
                </c:pt>
                <c:pt idx="35">
                  <c:v>0.740667667384627</c:v>
                </c:pt>
                <c:pt idx="36">
                  <c:v>0.735087909194219</c:v>
                </c:pt>
                <c:pt idx="37">
                  <c:v>0.729641448317554</c:v>
                </c:pt>
                <c:pt idx="38">
                  <c:v>0.724391850413762</c:v>
                </c:pt>
                <c:pt idx="39">
                  <c:v>0.720384135860085</c:v>
                </c:pt>
                <c:pt idx="40">
                  <c:v>0.715085494399558</c:v>
                </c:pt>
                <c:pt idx="41">
                  <c:v>0.714060974004408</c:v>
                </c:pt>
                <c:pt idx="42">
                  <c:v>0.714815942462657</c:v>
                </c:pt>
                <c:pt idx="43">
                  <c:v>0.715605814728503</c:v>
                </c:pt>
                <c:pt idx="44">
                  <c:v>0.716419625781716</c:v>
                </c:pt>
                <c:pt idx="45">
                  <c:v>0.717276853129148</c:v>
                </c:pt>
                <c:pt idx="46">
                  <c:v>0.718111175284543</c:v>
                </c:pt>
                <c:pt idx="47">
                  <c:v>0.719033179986665</c:v>
                </c:pt>
                <c:pt idx="48">
                  <c:v>0.719957814875361</c:v>
                </c:pt>
                <c:pt idx="49">
                  <c:v>0.720889892975028</c:v>
                </c:pt>
                <c:pt idx="50">
                  <c:v>0.721909025298203</c:v>
                </c:pt>
                <c:pt idx="51">
                  <c:v>0.722902308279</c:v>
                </c:pt>
                <c:pt idx="52">
                  <c:v>0.723987651254922</c:v>
                </c:pt>
                <c:pt idx="53">
                  <c:v>0.725053323401598</c:v>
                </c:pt>
                <c:pt idx="54">
                  <c:v>0.726185887122471</c:v>
                </c:pt>
                <c:pt idx="55">
                  <c:v>0.727297589152403</c:v>
                </c:pt>
                <c:pt idx="56">
                  <c:v>0.728492975549564</c:v>
                </c:pt>
                <c:pt idx="57">
                  <c:v>0.729671259119024</c:v>
                </c:pt>
                <c:pt idx="58">
                  <c:v>0.730921312645687</c:v>
                </c:pt>
                <c:pt idx="59">
                  <c:v>0.732163270232735</c:v>
                </c:pt>
                <c:pt idx="60">
                  <c:v>0.733459584664703</c:v>
                </c:pt>
                <c:pt idx="61">
                  <c:v>0.734837140334181</c:v>
                </c:pt>
                <c:pt idx="62">
                  <c:v>0.736251986743129</c:v>
                </c:pt>
                <c:pt idx="63">
                  <c:v>0.737698119593812</c:v>
                </c:pt>
                <c:pt idx="64">
                  <c:v>0.739138190424054</c:v>
                </c:pt>
                <c:pt idx="65">
                  <c:v>0.740604708064632</c:v>
                </c:pt>
                <c:pt idx="66">
                  <c:v>0.742095709568373</c:v>
                </c:pt>
                <c:pt idx="67">
                  <c:v>0.743608949093288</c:v>
                </c:pt>
                <c:pt idx="68">
                  <c:v>0.745142063338458</c:v>
                </c:pt>
                <c:pt idx="69">
                  <c:v>0.746692516151117</c:v>
                </c:pt>
                <c:pt idx="70">
                  <c:v>0.748257654931256</c:v>
                </c:pt>
                <c:pt idx="71">
                  <c:v>0.749834715758342</c:v>
                </c:pt>
                <c:pt idx="72">
                  <c:v>0.751420855744122</c:v>
                </c:pt>
                <c:pt idx="73">
                  <c:v>0.753013175407586</c:v>
                </c:pt>
                <c:pt idx="74">
                  <c:v>0.754566198249733</c:v>
                </c:pt>
                <c:pt idx="75">
                  <c:v>0.7561185540368</c:v>
                </c:pt>
                <c:pt idx="76">
                  <c:v>0.757667415214976</c:v>
                </c:pt>
                <c:pt idx="77">
                  <c:v>0.759209998244341</c:v>
                </c:pt>
                <c:pt idx="78">
                  <c:v>0.760743607522419</c:v>
                </c:pt>
                <c:pt idx="79">
                  <c:v>0.762265654966268</c:v>
                </c:pt>
                <c:pt idx="80">
                  <c:v>0.763773685077739</c:v>
                </c:pt>
                <c:pt idx="81">
                  <c:v>0.765265394955633</c:v>
                </c:pt>
                <c:pt idx="82">
                  <c:v>0.766738652419295</c:v>
                </c:pt>
                <c:pt idx="83">
                  <c:v>0.768191510786444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re!$G$1</c:f>
              <c:strCache>
                <c:ptCount val="1"/>
                <c:pt idx="0">
                  <c:v>re_slow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re!$G$2:$G$85</c:f>
              <c:numCache>
                <c:formatCode>General</c:formatCode>
                <c:ptCount val="84"/>
                <c:pt idx="0">
                  <c:v>0.994032720271071</c:v>
                </c:pt>
                <c:pt idx="1">
                  <c:v>0.988756819399453</c:v>
                </c:pt>
                <c:pt idx="2">
                  <c:v>0.982572532248996</c:v>
                </c:pt>
                <c:pt idx="3">
                  <c:v>0.977677994229248</c:v>
                </c:pt>
                <c:pt idx="4">
                  <c:v>0.970997035093905</c:v>
                </c:pt>
                <c:pt idx="5">
                  <c:v>0.965225883066615</c:v>
                </c:pt>
                <c:pt idx="6">
                  <c:v>0.958999057807657</c:v>
                </c:pt>
                <c:pt idx="7">
                  <c:v>0.951928977611362</c:v>
                </c:pt>
                <c:pt idx="8">
                  <c:v>0.944374034197356</c:v>
                </c:pt>
                <c:pt idx="9">
                  <c:v>0.938187577329911</c:v>
                </c:pt>
                <c:pt idx="10">
                  <c:v>0.930026796492201</c:v>
                </c:pt>
                <c:pt idx="11">
                  <c:v>0.920830686199671</c:v>
                </c:pt>
                <c:pt idx="12">
                  <c:v>0.913178504362814</c:v>
                </c:pt>
                <c:pt idx="13">
                  <c:v>0.904571121553886</c:v>
                </c:pt>
                <c:pt idx="14">
                  <c:v>0.895021175090685</c:v>
                </c:pt>
                <c:pt idx="15">
                  <c:v>0.888215591961675</c:v>
                </c:pt>
                <c:pt idx="16">
                  <c:v>0.880322904668261</c:v>
                </c:pt>
                <c:pt idx="17">
                  <c:v>0.870686472577081</c:v>
                </c:pt>
                <c:pt idx="18">
                  <c:v>0.863639933576857</c:v>
                </c:pt>
                <c:pt idx="19">
                  <c:v>0.854519937471288</c:v>
                </c:pt>
                <c:pt idx="20">
                  <c:v>0.844648182878201</c:v>
                </c:pt>
                <c:pt idx="21">
                  <c:v>0.837905105971958</c:v>
                </c:pt>
                <c:pt idx="22">
                  <c:v>0.828541036540955</c:v>
                </c:pt>
                <c:pt idx="23">
                  <c:v>0.819826630125657</c:v>
                </c:pt>
                <c:pt idx="24">
                  <c:v>0.811667852784444</c:v>
                </c:pt>
                <c:pt idx="25">
                  <c:v>0.802078936972316</c:v>
                </c:pt>
                <c:pt idx="26">
                  <c:v>0.793930302853281</c:v>
                </c:pt>
                <c:pt idx="27">
                  <c:v>0.786841245526876</c:v>
                </c:pt>
                <c:pt idx="28">
                  <c:v>0.777001505858739</c:v>
                </c:pt>
                <c:pt idx="29">
                  <c:v>0.769368583024114</c:v>
                </c:pt>
                <c:pt idx="30">
                  <c:v>0.760891162259604</c:v>
                </c:pt>
                <c:pt idx="31">
                  <c:v>0.754359070483999</c:v>
                </c:pt>
                <c:pt idx="32">
                  <c:v>0.745423746403522</c:v>
                </c:pt>
                <c:pt idx="33">
                  <c:v>0.737512642889953</c:v>
                </c:pt>
                <c:pt idx="34">
                  <c:v>0.730018348279139</c:v>
                </c:pt>
                <c:pt idx="35">
                  <c:v>0.721786253139385</c:v>
                </c:pt>
                <c:pt idx="36">
                  <c:v>0.722305108890183</c:v>
                </c:pt>
                <c:pt idx="37">
                  <c:v>0.723724855540067</c:v>
                </c:pt>
                <c:pt idx="38">
                  <c:v>0.725253562890165</c:v>
                </c:pt>
                <c:pt idx="39">
                  <c:v>0.726917042559889</c:v>
                </c:pt>
                <c:pt idx="40">
                  <c:v>0.728694269657874</c:v>
                </c:pt>
                <c:pt idx="41">
                  <c:v>0.730589183208946</c:v>
                </c:pt>
                <c:pt idx="42">
                  <c:v>0.732608158115916</c:v>
                </c:pt>
                <c:pt idx="43">
                  <c:v>0.734754795089713</c:v>
                </c:pt>
                <c:pt idx="44">
                  <c:v>0.736962788619761</c:v>
                </c:pt>
                <c:pt idx="45">
                  <c:v>0.739295420091008</c:v>
                </c:pt>
                <c:pt idx="46">
                  <c:v>0.741755115784971</c:v>
                </c:pt>
                <c:pt idx="47">
                  <c:v>0.744329202639569</c:v>
                </c:pt>
                <c:pt idx="48">
                  <c:v>0.747016806593921</c:v>
                </c:pt>
                <c:pt idx="49">
                  <c:v>0.749811597160546</c:v>
                </c:pt>
                <c:pt idx="50">
                  <c:v>0.752703321394706</c:v>
                </c:pt>
                <c:pt idx="51">
                  <c:v>0.755679007940599</c:v>
                </c:pt>
                <c:pt idx="52">
                  <c:v>0.758722974184133</c:v>
                </c:pt>
                <c:pt idx="53">
                  <c:v>0.761854238512934</c:v>
                </c:pt>
                <c:pt idx="54">
                  <c:v>0.764904368491807</c:v>
                </c:pt>
                <c:pt idx="55">
                  <c:v>0.767969675442627</c:v>
                </c:pt>
                <c:pt idx="56">
                  <c:v>0.770991589291575</c:v>
                </c:pt>
                <c:pt idx="57">
                  <c:v>0.77395195468952</c:v>
                </c:pt>
                <c:pt idx="58">
                  <c:v>0.776827475506966</c:v>
                </c:pt>
                <c:pt idx="59">
                  <c:v>0.779595424730036</c:v>
                </c:pt>
                <c:pt idx="60">
                  <c:v>0.782234062384875</c:v>
                </c:pt>
                <c:pt idx="61">
                  <c:v>0.784724011694397</c:v>
                </c:pt>
                <c:pt idx="62">
                  <c:v>0.787049100953285</c:v>
                </c:pt>
                <c:pt idx="63">
                  <c:v>0.789196829416279</c:v>
                </c:pt>
                <c:pt idx="64">
                  <c:v>0.791152425212084</c:v>
                </c:pt>
                <c:pt idx="65">
                  <c:v>0.792852406916024</c:v>
                </c:pt>
                <c:pt idx="66">
                  <c:v>0.794345098840308</c:v>
                </c:pt>
                <c:pt idx="67">
                  <c:v>0.795655116680188</c:v>
                </c:pt>
                <c:pt idx="68">
                  <c:v>0.796789094494358</c:v>
                </c:pt>
                <c:pt idx="69">
                  <c:v>0.797751532225296</c:v>
                </c:pt>
                <c:pt idx="70">
                  <c:v>0.79855137149168</c:v>
                </c:pt>
                <c:pt idx="71">
                  <c:v>0.799273153349558</c:v>
                </c:pt>
                <c:pt idx="72">
                  <c:v>0.799786904290244</c:v>
                </c:pt>
                <c:pt idx="73">
                  <c:v>0.800144458495239</c:v>
                </c:pt>
                <c:pt idx="74">
                  <c:v>0.800404364348873</c:v>
                </c:pt>
                <c:pt idx="75">
                  <c:v>0.800561163080391</c:v>
                </c:pt>
                <c:pt idx="76">
                  <c:v>0.800613697276762</c:v>
                </c:pt>
                <c:pt idx="77">
                  <c:v>0.800621302600105</c:v>
                </c:pt>
                <c:pt idx="78">
                  <c:v>0.800603789766727</c:v>
                </c:pt>
                <c:pt idx="79">
                  <c:v>0.800514496088497</c:v>
                </c:pt>
                <c:pt idx="80">
                  <c:v>0.800328418550576</c:v>
                </c:pt>
                <c:pt idx="81">
                  <c:v>0.80021832631956</c:v>
                </c:pt>
                <c:pt idx="82">
                  <c:v>0.80010863863814</c:v>
                </c:pt>
                <c:pt idx="83">
                  <c:v>0.799889203700971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8487995"/>
        <c:axId val="375891781"/>
      </c:lineChart>
      <c:catAx>
        <c:axId val="2884879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5891781"/>
        <c:crosses val="autoZero"/>
        <c:auto val="1"/>
        <c:lblAlgn val="ctr"/>
        <c:lblOffset val="100"/>
        <c:noMultiLvlLbl val="0"/>
      </c:catAx>
      <c:valAx>
        <c:axId val="3758917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4879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re!$N$1</c:f>
              <c:strCache>
                <c:ptCount val="1"/>
                <c:pt idx="0">
                  <c:v>re_speed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re!$N$2:$N$85</c:f>
              <c:numCache>
                <c:formatCode>General</c:formatCode>
                <c:ptCount val="84"/>
                <c:pt idx="0">
                  <c:v>99403.2720271071</c:v>
                </c:pt>
                <c:pt idx="1">
                  <c:v>98865.8762653683</c:v>
                </c:pt>
                <c:pt idx="2">
                  <c:v>98245.2239350574</c:v>
                </c:pt>
                <c:pt idx="3">
                  <c:v>97700.9304917696</c:v>
                </c:pt>
                <c:pt idx="4">
                  <c:v>97105.6252120916</c:v>
                </c:pt>
                <c:pt idx="5">
                  <c:v>96449.1975190542</c:v>
                </c:pt>
                <c:pt idx="6">
                  <c:v>95696.2304846902</c:v>
                </c:pt>
                <c:pt idx="7">
                  <c:v>95067.5374984691</c:v>
                </c:pt>
                <c:pt idx="8">
                  <c:v>94366.4948194537</c:v>
                </c:pt>
                <c:pt idx="9">
                  <c:v>93549.761788214</c:v>
                </c:pt>
                <c:pt idx="10">
                  <c:v>92877.6091750058</c:v>
                </c:pt>
                <c:pt idx="11">
                  <c:v>92077.440522655</c:v>
                </c:pt>
                <c:pt idx="12">
                  <c:v>91470.040822494</c:v>
                </c:pt>
                <c:pt idx="13">
                  <c:v>90761.0818326373</c:v>
                </c:pt>
                <c:pt idx="14">
                  <c:v>90029.3717468288</c:v>
                </c:pt>
                <c:pt idx="15">
                  <c:v>89345.8832018819</c:v>
                </c:pt>
                <c:pt idx="16">
                  <c:v>88539.7612633717</c:v>
                </c:pt>
                <c:pt idx="17">
                  <c:v>87836.9713550463</c:v>
                </c:pt>
                <c:pt idx="18">
                  <c:v>87253.0200412913</c:v>
                </c:pt>
                <c:pt idx="19">
                  <c:v>86469.7751804464</c:v>
                </c:pt>
                <c:pt idx="20">
                  <c:v>85891.7483260319</c:v>
                </c:pt>
                <c:pt idx="21">
                  <c:v>85238.1393209639</c:v>
                </c:pt>
                <c:pt idx="22">
                  <c:v>84586.5112579134</c:v>
                </c:pt>
                <c:pt idx="23">
                  <c:v>83940.9244750459</c:v>
                </c:pt>
                <c:pt idx="24">
                  <c:v>83295.9580581926</c:v>
                </c:pt>
                <c:pt idx="25">
                  <c:v>82675.6681837564</c:v>
                </c:pt>
                <c:pt idx="26">
                  <c:v>82141.3181097211</c:v>
                </c:pt>
                <c:pt idx="27">
                  <c:v>81507.0066797026</c:v>
                </c:pt>
                <c:pt idx="28">
                  <c:v>81029.0551600419</c:v>
                </c:pt>
                <c:pt idx="29">
                  <c:v>80375.4964759798</c:v>
                </c:pt>
                <c:pt idx="30">
                  <c:v>79861.1439571541</c:v>
                </c:pt>
                <c:pt idx="31">
                  <c:v>79347.0471084466</c:v>
                </c:pt>
                <c:pt idx="32">
                  <c:v>78906.9950126899</c:v>
                </c:pt>
                <c:pt idx="33">
                  <c:v>78427.7655547699</c:v>
                </c:pt>
                <c:pt idx="34">
                  <c:v>77958.1056490449</c:v>
                </c:pt>
                <c:pt idx="35">
                  <c:v>77497.2465184465</c:v>
                </c:pt>
                <c:pt idx="36">
                  <c:v>77045.4234226058</c:v>
                </c:pt>
                <c:pt idx="37">
                  <c:v>76602.2599922178</c:v>
                </c:pt>
                <c:pt idx="38">
                  <c:v>76167.3081096613</c:v>
                </c:pt>
                <c:pt idx="39">
                  <c:v>75740.4868994261</c:v>
                </c:pt>
                <c:pt idx="40">
                  <c:v>75323.0966182018</c:v>
                </c:pt>
                <c:pt idx="41">
                  <c:v>74914.6653825777</c:v>
                </c:pt>
                <c:pt idx="42">
                  <c:v>74514.4529618885</c:v>
                </c:pt>
                <c:pt idx="43">
                  <c:v>74122.3477369655</c:v>
                </c:pt>
                <c:pt idx="44">
                  <c:v>73733.9701251952</c:v>
                </c:pt>
                <c:pt idx="45">
                  <c:v>73373.0553081229</c:v>
                </c:pt>
                <c:pt idx="46">
                  <c:v>73005.6054253233</c:v>
                </c:pt>
                <c:pt idx="47">
                  <c:v>72639.1956507096</c:v>
                </c:pt>
                <c:pt idx="48">
                  <c:v>72277.0573126504</c:v>
                </c:pt>
                <c:pt idx="49">
                  <c:v>71919.9737549214</c:v>
                </c:pt>
                <c:pt idx="50">
                  <c:v>71892.8817798718</c:v>
                </c:pt>
                <c:pt idx="51">
                  <c:v>71960.1029203244</c:v>
                </c:pt>
                <c:pt idx="52">
                  <c:v>72029.6101492725</c:v>
                </c:pt>
                <c:pt idx="53">
                  <c:v>72101.4250420596</c:v>
                </c:pt>
                <c:pt idx="54">
                  <c:v>72173.0092766735</c:v>
                </c:pt>
                <c:pt idx="55">
                  <c:v>72246.8824925837</c:v>
                </c:pt>
                <c:pt idx="56">
                  <c:v>72323.0608210846</c:v>
                </c:pt>
                <c:pt idx="57">
                  <c:v>72401.576472407</c:v>
                </c:pt>
                <c:pt idx="58">
                  <c:v>72482.4561572213</c:v>
                </c:pt>
                <c:pt idx="59">
                  <c:v>72565.7211069026</c:v>
                </c:pt>
                <c:pt idx="60">
                  <c:v>72651.3866112362</c:v>
                </c:pt>
                <c:pt idx="61">
                  <c:v>72739.4616146349</c:v>
                </c:pt>
                <c:pt idx="62">
                  <c:v>72829.8658146473</c:v>
                </c:pt>
                <c:pt idx="63">
                  <c:v>72922.5429734904</c:v>
                </c:pt>
                <c:pt idx="64">
                  <c:v>73014.7190896163</c:v>
                </c:pt>
                <c:pt idx="65">
                  <c:v>73109.0575797187</c:v>
                </c:pt>
                <c:pt idx="66">
                  <c:v>73205.5211412671</c:v>
                </c:pt>
                <c:pt idx="67">
                  <c:v>73304.0667710354</c:v>
                </c:pt>
                <c:pt idx="68">
                  <c:v>73404.6444070671</c:v>
                </c:pt>
                <c:pt idx="69">
                  <c:v>73507.1966883964</c:v>
                </c:pt>
                <c:pt idx="70">
                  <c:v>73611.6589852192</c:v>
                </c:pt>
                <c:pt idx="71">
                  <c:v>73717.9595857808</c:v>
                </c:pt>
                <c:pt idx="72">
                  <c:v>73826.0199561598</c:v>
                </c:pt>
                <c:pt idx="73">
                  <c:v>73935.7550398452</c:v>
                </c:pt>
                <c:pt idx="74">
                  <c:v>74043.920373486</c:v>
                </c:pt>
                <c:pt idx="75">
                  <c:v>74153.5135198194</c:v>
                </c:pt>
                <c:pt idx="76">
                  <c:v>74264.4285147303</c:v>
                </c:pt>
                <c:pt idx="77">
                  <c:v>74376.5576674379</c:v>
                </c:pt>
                <c:pt idx="78">
                  <c:v>74489.7898416727</c:v>
                </c:pt>
                <c:pt idx="79">
                  <c:v>74604.0105746383</c:v>
                </c:pt>
                <c:pt idx="80">
                  <c:v>74719.1026675747</c:v>
                </c:pt>
                <c:pt idx="81">
                  <c:v>74835.0427180964</c:v>
                </c:pt>
                <c:pt idx="82">
                  <c:v>74951.6091356889</c:v>
                </c:pt>
                <c:pt idx="83">
                  <c:v>75068.6862471767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re!$P$1</c:f>
              <c:strCache>
                <c:ptCount val="1"/>
                <c:pt idx="0">
                  <c:v>re_default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re!$P$2:$P$85</c:f>
              <c:numCache>
                <c:formatCode>General</c:formatCode>
                <c:ptCount val="84"/>
                <c:pt idx="0">
                  <c:v>99403.2720271071</c:v>
                </c:pt>
                <c:pt idx="1">
                  <c:v>98761.2914733543</c:v>
                </c:pt>
                <c:pt idx="2">
                  <c:v>98237.5061943488</c:v>
                </c:pt>
                <c:pt idx="3">
                  <c:v>97696.8324813267</c:v>
                </c:pt>
                <c:pt idx="4">
                  <c:v>97140.873554571</c:v>
                </c:pt>
                <c:pt idx="5">
                  <c:v>96474.0280527041</c:v>
                </c:pt>
                <c:pt idx="6">
                  <c:v>95777.8545531027</c:v>
                </c:pt>
                <c:pt idx="7">
                  <c:v>95052.3366655157</c:v>
                </c:pt>
                <c:pt idx="8">
                  <c:v>94385.6735609065</c:v>
                </c:pt>
                <c:pt idx="9">
                  <c:v>93514.7282770637</c:v>
                </c:pt>
                <c:pt idx="10">
                  <c:v>92835.2141622373</c:v>
                </c:pt>
                <c:pt idx="11">
                  <c:v>92175.0117175565</c:v>
                </c:pt>
                <c:pt idx="12">
                  <c:v>91357.4639551351</c:v>
                </c:pt>
                <c:pt idx="13">
                  <c:v>90479.1261645963</c:v>
                </c:pt>
                <c:pt idx="14">
                  <c:v>89741.1493605544</c:v>
                </c:pt>
                <c:pt idx="15">
                  <c:v>88804.8459987399</c:v>
                </c:pt>
                <c:pt idx="16">
                  <c:v>88063.1446030321</c:v>
                </c:pt>
                <c:pt idx="17">
                  <c:v>87114.1039061871</c:v>
                </c:pt>
                <c:pt idx="18">
                  <c:v>86321.3706183154</c:v>
                </c:pt>
                <c:pt idx="19">
                  <c:v>85492.7314837474</c:v>
                </c:pt>
                <c:pt idx="20">
                  <c:v>84697.0687294197</c:v>
                </c:pt>
                <c:pt idx="21">
                  <c:v>83889.1577517676</c:v>
                </c:pt>
                <c:pt idx="22">
                  <c:v>83095.7577013181</c:v>
                </c:pt>
                <c:pt idx="23">
                  <c:v>82305.6619625168</c:v>
                </c:pt>
                <c:pt idx="24">
                  <c:v>81519.0427482265</c:v>
                </c:pt>
                <c:pt idx="25">
                  <c:v>80685.1842319133</c:v>
                </c:pt>
                <c:pt idx="26">
                  <c:v>79933.4720499095</c:v>
                </c:pt>
                <c:pt idx="27">
                  <c:v>79201.0790030117</c:v>
                </c:pt>
                <c:pt idx="28">
                  <c:v>78475.4576384769</c:v>
                </c:pt>
                <c:pt idx="29">
                  <c:v>77784.5038211608</c:v>
                </c:pt>
                <c:pt idx="30">
                  <c:v>77172.7080019777</c:v>
                </c:pt>
                <c:pt idx="31">
                  <c:v>76492.7563300598</c:v>
                </c:pt>
                <c:pt idx="32">
                  <c:v>75867.6650877818</c:v>
                </c:pt>
                <c:pt idx="33">
                  <c:v>75246.6545798306</c:v>
                </c:pt>
                <c:pt idx="34">
                  <c:v>74654.3276729527</c:v>
                </c:pt>
                <c:pt idx="35">
                  <c:v>74066.7667384627</c:v>
                </c:pt>
                <c:pt idx="36">
                  <c:v>73508.7909194219</c:v>
                </c:pt>
                <c:pt idx="37">
                  <c:v>72964.1448317554</c:v>
                </c:pt>
                <c:pt idx="38">
                  <c:v>72439.1850413762</c:v>
                </c:pt>
                <c:pt idx="39">
                  <c:v>72038.4135860085</c:v>
                </c:pt>
                <c:pt idx="40">
                  <c:v>71508.5494399558</c:v>
                </c:pt>
                <c:pt idx="41">
                  <c:v>71406.0974004408</c:v>
                </c:pt>
                <c:pt idx="42">
                  <c:v>71481.5942462657</c:v>
                </c:pt>
                <c:pt idx="43">
                  <c:v>71560.5814728503</c:v>
                </c:pt>
                <c:pt idx="44">
                  <c:v>71641.9625781716</c:v>
                </c:pt>
                <c:pt idx="45">
                  <c:v>71727.6853129148</c:v>
                </c:pt>
                <c:pt idx="46">
                  <c:v>71811.1175284543</c:v>
                </c:pt>
                <c:pt idx="47">
                  <c:v>71903.3179986665</c:v>
                </c:pt>
                <c:pt idx="48">
                  <c:v>71995.7814875361</c:v>
                </c:pt>
                <c:pt idx="49">
                  <c:v>72088.9892975028</c:v>
                </c:pt>
                <c:pt idx="50">
                  <c:v>72190.9025298203</c:v>
                </c:pt>
                <c:pt idx="51">
                  <c:v>72290.2308279</c:v>
                </c:pt>
                <c:pt idx="52">
                  <c:v>72398.7651254922</c:v>
                </c:pt>
                <c:pt idx="53">
                  <c:v>72505.3323401598</c:v>
                </c:pt>
                <c:pt idx="54">
                  <c:v>72618.5887122471</c:v>
                </c:pt>
                <c:pt idx="55">
                  <c:v>72729.7589152403</c:v>
                </c:pt>
                <c:pt idx="56">
                  <c:v>72849.2975549564</c:v>
                </c:pt>
                <c:pt idx="57">
                  <c:v>72967.1259119024</c:v>
                </c:pt>
                <c:pt idx="58">
                  <c:v>73092.1312645687</c:v>
                </c:pt>
                <c:pt idx="59">
                  <c:v>73216.3270232735</c:v>
                </c:pt>
                <c:pt idx="60">
                  <c:v>73345.9584664703</c:v>
                </c:pt>
                <c:pt idx="61">
                  <c:v>73483.7140334181</c:v>
                </c:pt>
                <c:pt idx="62">
                  <c:v>73625.1986743129</c:v>
                </c:pt>
                <c:pt idx="63">
                  <c:v>73769.8119593812</c:v>
                </c:pt>
                <c:pt idx="64">
                  <c:v>73913.8190424054</c:v>
                </c:pt>
                <c:pt idx="65">
                  <c:v>74060.4708064632</c:v>
                </c:pt>
                <c:pt idx="66">
                  <c:v>74209.5709568373</c:v>
                </c:pt>
                <c:pt idx="67">
                  <c:v>74360.8949093288</c:v>
                </c:pt>
                <c:pt idx="68">
                  <c:v>74514.2063338458</c:v>
                </c:pt>
                <c:pt idx="69">
                  <c:v>74669.2516151117</c:v>
                </c:pt>
                <c:pt idx="70">
                  <c:v>74825.7654931256</c:v>
                </c:pt>
                <c:pt idx="71">
                  <c:v>74983.4715758342</c:v>
                </c:pt>
                <c:pt idx="72">
                  <c:v>75142.0855744122</c:v>
                </c:pt>
                <c:pt idx="73">
                  <c:v>75301.3175407586</c:v>
                </c:pt>
                <c:pt idx="74">
                  <c:v>75456.6198249733</c:v>
                </c:pt>
                <c:pt idx="75">
                  <c:v>75611.85540368</c:v>
                </c:pt>
                <c:pt idx="76">
                  <c:v>75766.7415214976</c:v>
                </c:pt>
                <c:pt idx="77">
                  <c:v>75920.9998244341</c:v>
                </c:pt>
                <c:pt idx="78">
                  <c:v>76074.3607522419</c:v>
                </c:pt>
                <c:pt idx="79">
                  <c:v>76226.5654966268</c:v>
                </c:pt>
                <c:pt idx="80">
                  <c:v>76377.368507774</c:v>
                </c:pt>
                <c:pt idx="81">
                  <c:v>76526.5394955633</c:v>
                </c:pt>
                <c:pt idx="82">
                  <c:v>76673.8652419295</c:v>
                </c:pt>
                <c:pt idx="83">
                  <c:v>76819.1510786444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re!$R$1</c:f>
              <c:strCache>
                <c:ptCount val="1"/>
                <c:pt idx="0">
                  <c:v>re_slow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re!$R$2:$R$85</c:f>
              <c:numCache>
                <c:formatCode>General</c:formatCode>
                <c:ptCount val="84"/>
                <c:pt idx="0">
                  <c:v>99403.2720271071</c:v>
                </c:pt>
                <c:pt idx="1">
                  <c:v>98875.6819399453</c:v>
                </c:pt>
                <c:pt idx="2">
                  <c:v>98257.2532248996</c:v>
                </c:pt>
                <c:pt idx="3">
                  <c:v>97767.7994229248</c:v>
                </c:pt>
                <c:pt idx="4">
                  <c:v>97099.7035093905</c:v>
                </c:pt>
                <c:pt idx="5">
                  <c:v>96522.5883066615</c:v>
                </c:pt>
                <c:pt idx="6">
                  <c:v>95899.9057807657</c:v>
                </c:pt>
                <c:pt idx="7">
                  <c:v>95192.8977611362</c:v>
                </c:pt>
                <c:pt idx="8">
                  <c:v>94437.4034197356</c:v>
                </c:pt>
                <c:pt idx="9">
                  <c:v>93818.7577329911</c:v>
                </c:pt>
                <c:pt idx="10">
                  <c:v>93002.6796492201</c:v>
                </c:pt>
                <c:pt idx="11">
                  <c:v>92083.0686199671</c:v>
                </c:pt>
                <c:pt idx="12">
                  <c:v>91317.8504362814</c:v>
                </c:pt>
                <c:pt idx="13">
                  <c:v>90457.1121553886</c:v>
                </c:pt>
                <c:pt idx="14">
                  <c:v>89502.1175090685</c:v>
                </c:pt>
                <c:pt idx="15">
                  <c:v>88821.5591961675</c:v>
                </c:pt>
                <c:pt idx="16">
                  <c:v>88032.2904668261</c:v>
                </c:pt>
                <c:pt idx="17">
                  <c:v>87068.6472577081</c:v>
                </c:pt>
                <c:pt idx="18">
                  <c:v>86363.9933576857</c:v>
                </c:pt>
                <c:pt idx="19">
                  <c:v>85451.9937471288</c:v>
                </c:pt>
                <c:pt idx="20">
                  <c:v>84464.8182878201</c:v>
                </c:pt>
                <c:pt idx="21">
                  <c:v>83790.5105971958</c:v>
                </c:pt>
                <c:pt idx="22">
                  <c:v>82854.1036540955</c:v>
                </c:pt>
                <c:pt idx="23">
                  <c:v>81982.6630125657</c:v>
                </c:pt>
                <c:pt idx="24">
                  <c:v>81166.7852784444</c:v>
                </c:pt>
                <c:pt idx="25">
                  <c:v>80207.8936972316</c:v>
                </c:pt>
                <c:pt idx="26">
                  <c:v>79393.0302853281</c:v>
                </c:pt>
                <c:pt idx="27">
                  <c:v>78684.1245526876</c:v>
                </c:pt>
                <c:pt idx="28">
                  <c:v>77700.1505858739</c:v>
                </c:pt>
                <c:pt idx="29">
                  <c:v>76936.8583024114</c:v>
                </c:pt>
                <c:pt idx="30">
                  <c:v>76089.1162259604</c:v>
                </c:pt>
                <c:pt idx="31">
                  <c:v>75435.9070483999</c:v>
                </c:pt>
                <c:pt idx="32">
                  <c:v>74542.3746403522</c:v>
                </c:pt>
                <c:pt idx="33">
                  <c:v>73751.2642889953</c:v>
                </c:pt>
                <c:pt idx="34">
                  <c:v>73001.8348279139</c:v>
                </c:pt>
                <c:pt idx="35">
                  <c:v>72178.6253139385</c:v>
                </c:pt>
                <c:pt idx="36">
                  <c:v>72230.5108890183</c:v>
                </c:pt>
                <c:pt idx="37">
                  <c:v>72372.4855540067</c:v>
                </c:pt>
                <c:pt idx="38">
                  <c:v>72525.3562890165</c:v>
                </c:pt>
                <c:pt idx="39">
                  <c:v>72691.7042559889</c:v>
                </c:pt>
                <c:pt idx="40">
                  <c:v>72869.4269657874</c:v>
                </c:pt>
                <c:pt idx="41">
                  <c:v>73058.9183208946</c:v>
                </c:pt>
                <c:pt idx="42">
                  <c:v>73260.8158115916</c:v>
                </c:pt>
                <c:pt idx="43">
                  <c:v>73475.4795089713</c:v>
                </c:pt>
                <c:pt idx="44">
                  <c:v>73696.2788619761</c:v>
                </c:pt>
                <c:pt idx="45">
                  <c:v>73929.5420091008</c:v>
                </c:pt>
                <c:pt idx="46">
                  <c:v>74175.5115784971</c:v>
                </c:pt>
                <c:pt idx="47">
                  <c:v>74432.9202639569</c:v>
                </c:pt>
                <c:pt idx="48">
                  <c:v>74701.6806593921</c:v>
                </c:pt>
                <c:pt idx="49">
                  <c:v>74981.1597160546</c:v>
                </c:pt>
                <c:pt idx="50">
                  <c:v>75270.3321394706</c:v>
                </c:pt>
                <c:pt idx="51">
                  <c:v>75567.9007940599</c:v>
                </c:pt>
                <c:pt idx="52">
                  <c:v>75872.2974184133</c:v>
                </c:pt>
                <c:pt idx="53">
                  <c:v>76185.4238512934</c:v>
                </c:pt>
                <c:pt idx="54">
                  <c:v>76490.4368491807</c:v>
                </c:pt>
                <c:pt idx="55">
                  <c:v>76796.9675442627</c:v>
                </c:pt>
                <c:pt idx="56">
                  <c:v>77099.1589291575</c:v>
                </c:pt>
                <c:pt idx="57">
                  <c:v>77395.195468952</c:v>
                </c:pt>
                <c:pt idx="58">
                  <c:v>77682.7475506966</c:v>
                </c:pt>
                <c:pt idx="59">
                  <c:v>77959.5424730036</c:v>
                </c:pt>
                <c:pt idx="60">
                  <c:v>78223.4062384875</c:v>
                </c:pt>
                <c:pt idx="61">
                  <c:v>78472.4011694397</c:v>
                </c:pt>
                <c:pt idx="62">
                  <c:v>78704.9100953285</c:v>
                </c:pt>
                <c:pt idx="63">
                  <c:v>78919.6829416279</c:v>
                </c:pt>
                <c:pt idx="64">
                  <c:v>79115.2425212083</c:v>
                </c:pt>
                <c:pt idx="65">
                  <c:v>79285.2406916024</c:v>
                </c:pt>
                <c:pt idx="66">
                  <c:v>79434.5098840308</c:v>
                </c:pt>
                <c:pt idx="67">
                  <c:v>79565.5116680188</c:v>
                </c:pt>
                <c:pt idx="68">
                  <c:v>79678.9094494358</c:v>
                </c:pt>
                <c:pt idx="69">
                  <c:v>79775.1532225296</c:v>
                </c:pt>
                <c:pt idx="70">
                  <c:v>79855.137149168</c:v>
                </c:pt>
                <c:pt idx="71">
                  <c:v>79927.3153349558</c:v>
                </c:pt>
                <c:pt idx="72">
                  <c:v>79978.6904290244</c:v>
                </c:pt>
                <c:pt idx="73">
                  <c:v>80014.4458495239</c:v>
                </c:pt>
                <c:pt idx="74">
                  <c:v>80040.4364348873</c:v>
                </c:pt>
                <c:pt idx="75">
                  <c:v>80056.1163080391</c:v>
                </c:pt>
                <c:pt idx="76">
                  <c:v>80061.3697276762</c:v>
                </c:pt>
                <c:pt idx="77">
                  <c:v>80062.1302600105</c:v>
                </c:pt>
                <c:pt idx="78">
                  <c:v>80060.3789766727</c:v>
                </c:pt>
                <c:pt idx="79">
                  <c:v>80051.4496088497</c:v>
                </c:pt>
                <c:pt idx="80">
                  <c:v>80032.8418550576</c:v>
                </c:pt>
                <c:pt idx="81">
                  <c:v>80021.832631956</c:v>
                </c:pt>
                <c:pt idx="82">
                  <c:v>80010.863863814</c:v>
                </c:pt>
                <c:pt idx="83">
                  <c:v>79988.9203700971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8463972"/>
        <c:axId val="696928731"/>
      </c:lineChart>
      <c:catAx>
        <c:axId val="9984639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928731"/>
        <c:crosses val="autoZero"/>
        <c:auto val="1"/>
        <c:lblAlgn val="ctr"/>
        <c:lblOffset val="100"/>
        <c:noMultiLvlLbl val="0"/>
      </c:catAx>
      <c:valAx>
        <c:axId val="6969287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4639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re!$U$1</c:f>
              <c:strCache>
                <c:ptCount val="1"/>
                <c:pt idx="0">
                  <c:v>re_speed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re!$U$2:$U$86</c:f>
              <c:numCache>
                <c:formatCode>General</c:formatCode>
                <c:ptCount val="85"/>
                <c:pt idx="0">
                  <c:v>-53.7395761738801</c:v>
                </c:pt>
                <c:pt idx="1">
                  <c:v>-62.0652330310945</c:v>
                </c:pt>
                <c:pt idx="2">
                  <c:v>-54.4293443287791</c:v>
                </c:pt>
                <c:pt idx="3">
                  <c:v>-59.5305279678038</c:v>
                </c:pt>
                <c:pt idx="4">
                  <c:v>-65.6427693037409</c:v>
                </c:pt>
                <c:pt idx="5">
                  <c:v>-75.2967034363927</c:v>
                </c:pt>
                <c:pt idx="6">
                  <c:v>-62.8692986221091</c:v>
                </c:pt>
                <c:pt idx="7">
                  <c:v>-70.1042679015429</c:v>
                </c:pt>
                <c:pt idx="8">
                  <c:v>-81.6733031239747</c:v>
                </c:pt>
                <c:pt idx="9">
                  <c:v>-67.2152613208155</c:v>
                </c:pt>
                <c:pt idx="10">
                  <c:v>-80.016865235083</c:v>
                </c:pt>
                <c:pt idx="11">
                  <c:v>-60.7399700160949</c:v>
                </c:pt>
                <c:pt idx="12">
                  <c:v>-70.8958989856723</c:v>
                </c:pt>
                <c:pt idx="13">
                  <c:v>-73.171008580849</c:v>
                </c:pt>
                <c:pt idx="14">
                  <c:v>-68.3488544946897</c:v>
                </c:pt>
                <c:pt idx="15">
                  <c:v>-80.6121938510174</c:v>
                </c:pt>
                <c:pt idx="16">
                  <c:v>-70.2789908325463</c:v>
                </c:pt>
                <c:pt idx="17">
                  <c:v>-58.3951313755027</c:v>
                </c:pt>
                <c:pt idx="18">
                  <c:v>-78.3244860844823</c:v>
                </c:pt>
                <c:pt idx="19">
                  <c:v>-57.8026854414548</c:v>
                </c:pt>
                <c:pt idx="20">
                  <c:v>-65.3609005067923</c:v>
                </c:pt>
                <c:pt idx="21">
                  <c:v>-65.1628063050547</c:v>
                </c:pt>
                <c:pt idx="22">
                  <c:v>-64.5586782867458</c:v>
                </c:pt>
                <c:pt idx="23">
                  <c:v>-64.4966416853332</c:v>
                </c:pt>
                <c:pt idx="24">
                  <c:v>-62.028987443622</c:v>
                </c:pt>
                <c:pt idx="25">
                  <c:v>-53.4350074035261</c:v>
                </c:pt>
                <c:pt idx="26">
                  <c:v>-63.4311430018564</c:v>
                </c:pt>
                <c:pt idx="27">
                  <c:v>-47.795151966068</c:v>
                </c:pt>
                <c:pt idx="28">
                  <c:v>-65.3558684062117</c:v>
                </c:pt>
                <c:pt idx="29">
                  <c:v>-51.4352518825667</c:v>
                </c:pt>
                <c:pt idx="30">
                  <c:v>-51.4096848707479</c:v>
                </c:pt>
                <c:pt idx="31">
                  <c:v>-44.0052095756704</c:v>
                </c:pt>
                <c:pt idx="32">
                  <c:v>-47.9229457920005</c:v>
                </c:pt>
                <c:pt idx="33">
                  <c:v>-46.9659905725062</c:v>
                </c:pt>
                <c:pt idx="34">
                  <c:v>-46.085913059839</c:v>
                </c:pt>
                <c:pt idx="35">
                  <c:v>-45.1823095840698</c:v>
                </c:pt>
                <c:pt idx="36">
                  <c:v>-44.3163430388005</c:v>
                </c:pt>
                <c:pt idx="37">
                  <c:v>-43.4951882556511</c:v>
                </c:pt>
                <c:pt idx="38">
                  <c:v>-42.6821210235151</c:v>
                </c:pt>
                <c:pt idx="39">
                  <c:v>-41.7390281224317</c:v>
                </c:pt>
                <c:pt idx="40">
                  <c:v>-40.8431235624096</c:v>
                </c:pt>
                <c:pt idx="41">
                  <c:v>-40.0212420689239</c:v>
                </c:pt>
                <c:pt idx="42">
                  <c:v>-39.2105224922956</c:v>
                </c:pt>
                <c:pt idx="43">
                  <c:v>-38.837761177033</c:v>
                </c:pt>
                <c:pt idx="44">
                  <c:v>-36.0914817072266</c:v>
                </c:pt>
                <c:pt idx="45">
                  <c:v>-36.7449882799642</c:v>
                </c:pt>
                <c:pt idx="46">
                  <c:v>-36.6409774613696</c:v>
                </c:pt>
                <c:pt idx="47">
                  <c:v>-36.2138338059148</c:v>
                </c:pt>
                <c:pt idx="48">
                  <c:v>-35.7083557729043</c:v>
                </c:pt>
                <c:pt idx="49">
                  <c:v>-2.70919750495535</c:v>
                </c:pt>
                <c:pt idx="50">
                  <c:v>6.72211404525891</c:v>
                </c:pt>
                <c:pt idx="51">
                  <c:v>6.95072289480847</c:v>
                </c:pt>
                <c:pt idx="52">
                  <c:v>7.18148927871476</c:v>
                </c:pt>
                <c:pt idx="53">
                  <c:v>7.15842346138529</c:v>
                </c:pt>
                <c:pt idx="54">
                  <c:v>7.38732159101696</c:v>
                </c:pt>
                <c:pt idx="55">
                  <c:v>7.6178328500931</c:v>
                </c:pt>
                <c:pt idx="56">
                  <c:v>7.85156513224305</c:v>
                </c:pt>
                <c:pt idx="57">
                  <c:v>8.08796848142279</c:v>
                </c:pt>
                <c:pt idx="58">
                  <c:v>8.32649496813609</c:v>
                </c:pt>
                <c:pt idx="59">
                  <c:v>8.56655043335763</c:v>
                </c:pt>
                <c:pt idx="60">
                  <c:v>8.80750033987132</c:v>
                </c:pt>
                <c:pt idx="61">
                  <c:v>9.0404200012395</c:v>
                </c:pt>
                <c:pt idx="62">
                  <c:v>9.26771588431463</c:v>
                </c:pt>
                <c:pt idx="63">
                  <c:v>9.21761161258083</c:v>
                </c:pt>
                <c:pt idx="64">
                  <c:v>9.43384901024746</c:v>
                </c:pt>
                <c:pt idx="65">
                  <c:v>9.64635615483656</c:v>
                </c:pt>
                <c:pt idx="66">
                  <c:v>9.85456297683207</c:v>
                </c:pt>
                <c:pt idx="67">
                  <c:v>10.0577636031707</c:v>
                </c:pt>
                <c:pt idx="68">
                  <c:v>10.2552281329327</c:v>
                </c:pt>
                <c:pt idx="69">
                  <c:v>10.4462296822716</c:v>
                </c:pt>
                <c:pt idx="70">
                  <c:v>10.6300600561682</c:v>
                </c:pt>
                <c:pt idx="71">
                  <c:v>10.8060370378915</c:v>
                </c:pt>
                <c:pt idx="72">
                  <c:v>10.9735083685458</c:v>
                </c:pt>
                <c:pt idx="73">
                  <c:v>10.8165333640753</c:v>
                </c:pt>
                <c:pt idx="74">
                  <c:v>10.9593146333398</c:v>
                </c:pt>
                <c:pt idx="75">
                  <c:v>11.0914994910938</c:v>
                </c:pt>
                <c:pt idx="76">
                  <c:v>11.212915270763</c:v>
                </c:pt>
                <c:pt idx="77">
                  <c:v>11.3232174234712</c:v>
                </c:pt>
                <c:pt idx="78">
                  <c:v>11.4220732965664</c:v>
                </c:pt>
                <c:pt idx="79">
                  <c:v>11.5092092936353</c:v>
                </c:pt>
                <c:pt idx="80">
                  <c:v>11.5940050521768</c:v>
                </c:pt>
                <c:pt idx="81">
                  <c:v>11.656641759249</c:v>
                </c:pt>
                <c:pt idx="82">
                  <c:v>11.7077111487784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re!$W$1</c:f>
              <c:strCache>
                <c:ptCount val="1"/>
                <c:pt idx="0">
                  <c:v>re_default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re!$W$2:$W$86</c:f>
              <c:numCache>
                <c:formatCode>General</c:formatCode>
                <c:ptCount val="85"/>
                <c:pt idx="0">
                  <c:v>-64.1980553752874</c:v>
                </c:pt>
                <c:pt idx="1">
                  <c:v>-52.3785279005429</c:v>
                </c:pt>
                <c:pt idx="2">
                  <c:v>-54.06737130221</c:v>
                </c:pt>
                <c:pt idx="3">
                  <c:v>-55.5958926755751</c:v>
                </c:pt>
                <c:pt idx="4">
                  <c:v>-66.6845501866831</c:v>
                </c:pt>
                <c:pt idx="5">
                  <c:v>-69.6173499601471</c:v>
                </c:pt>
                <c:pt idx="6">
                  <c:v>-72.5517887587002</c:v>
                </c:pt>
                <c:pt idx="7">
                  <c:v>-66.6663104609144</c:v>
                </c:pt>
                <c:pt idx="8">
                  <c:v>-87.0945283842883</c:v>
                </c:pt>
                <c:pt idx="9">
                  <c:v>-67.9514114826318</c:v>
                </c:pt>
                <c:pt idx="10">
                  <c:v>-66.020244468088</c:v>
                </c:pt>
                <c:pt idx="11">
                  <c:v>-81.7547762421378</c:v>
                </c:pt>
                <c:pt idx="12">
                  <c:v>-87.8337790538786</c:v>
                </c:pt>
                <c:pt idx="13">
                  <c:v>-73.7976804041862</c:v>
                </c:pt>
                <c:pt idx="14">
                  <c:v>-93.6303361814517</c:v>
                </c:pt>
                <c:pt idx="15">
                  <c:v>-74.1701395707828</c:v>
                </c:pt>
                <c:pt idx="16">
                  <c:v>-94.9040696844949</c:v>
                </c:pt>
                <c:pt idx="17">
                  <c:v>-79.2733287871783</c:v>
                </c:pt>
                <c:pt idx="18">
                  <c:v>-82.8639134567977</c:v>
                </c:pt>
                <c:pt idx="19">
                  <c:v>-79.5662754327697</c:v>
                </c:pt>
                <c:pt idx="20">
                  <c:v>-80.7910977652093</c:v>
                </c:pt>
                <c:pt idx="21">
                  <c:v>-79.3400050449444</c:v>
                </c:pt>
                <c:pt idx="22">
                  <c:v>-79.0095738801333</c:v>
                </c:pt>
                <c:pt idx="23">
                  <c:v>-78.6619214290274</c:v>
                </c:pt>
                <c:pt idx="24">
                  <c:v>-83.3858516313235</c:v>
                </c:pt>
                <c:pt idx="25">
                  <c:v>-75.1712182003783</c:v>
                </c:pt>
                <c:pt idx="26">
                  <c:v>-73.2393046897795</c:v>
                </c:pt>
                <c:pt idx="27">
                  <c:v>-72.5621364534779</c:v>
                </c:pt>
                <c:pt idx="28">
                  <c:v>-69.0953817316187</c:v>
                </c:pt>
                <c:pt idx="29">
                  <c:v>-61.1795819183081</c:v>
                </c:pt>
                <c:pt idx="30">
                  <c:v>-67.9951671917844</c:v>
                </c:pt>
                <c:pt idx="31">
                  <c:v>-62.5091242278031</c:v>
                </c:pt>
                <c:pt idx="32">
                  <c:v>-62.1010507951147</c:v>
                </c:pt>
                <c:pt idx="33">
                  <c:v>-59.2326906877905</c:v>
                </c:pt>
                <c:pt idx="34">
                  <c:v>-58.7560934490083</c:v>
                </c:pt>
                <c:pt idx="35">
                  <c:v>-55.7975819040812</c:v>
                </c:pt>
                <c:pt idx="36">
                  <c:v>-54.4646087666445</c:v>
                </c:pt>
                <c:pt idx="37">
                  <c:v>-52.495979037922</c:v>
                </c:pt>
                <c:pt idx="38">
                  <c:v>-40.0771455367721</c:v>
                </c:pt>
                <c:pt idx="39">
                  <c:v>-52.986414605265</c:v>
                </c:pt>
                <c:pt idx="40">
                  <c:v>-10.2452039515</c:v>
                </c:pt>
                <c:pt idx="41">
                  <c:v>7.5496845824885</c:v>
                </c:pt>
                <c:pt idx="42">
                  <c:v>7.89872265845704</c:v>
                </c:pt>
                <c:pt idx="43">
                  <c:v>8.13811053213209</c:v>
                </c:pt>
                <c:pt idx="44">
                  <c:v>8.57227347432321</c:v>
                </c:pt>
                <c:pt idx="45">
                  <c:v>8.34322155394918</c:v>
                </c:pt>
                <c:pt idx="46">
                  <c:v>9.22004702122226</c:v>
                </c:pt>
                <c:pt idx="47">
                  <c:v>9.24634888695763</c:v>
                </c:pt>
                <c:pt idx="48">
                  <c:v>9.32078099667333</c:v>
                </c:pt>
                <c:pt idx="49">
                  <c:v>10.1913232317419</c:v>
                </c:pt>
                <c:pt idx="50">
                  <c:v>9.93282980797816</c:v>
                </c:pt>
                <c:pt idx="51">
                  <c:v>10.8534297592189</c:v>
                </c:pt>
                <c:pt idx="52">
                  <c:v>10.6567214667563</c:v>
                </c:pt>
                <c:pt idx="53">
                  <c:v>11.3256372087334</c:v>
                </c:pt>
                <c:pt idx="54">
                  <c:v>11.1170202993183</c:v>
                </c:pt>
                <c:pt idx="55">
                  <c:v>11.9538639716055</c:v>
                </c:pt>
                <c:pt idx="56">
                  <c:v>11.7828356946037</c:v>
                </c:pt>
                <c:pt idx="57">
                  <c:v>12.5005352666274</c:v>
                </c:pt>
                <c:pt idx="58">
                  <c:v>12.4195758704837</c:v>
                </c:pt>
                <c:pt idx="59">
                  <c:v>12.9631443196732</c:v>
                </c:pt>
                <c:pt idx="60">
                  <c:v>13.775556694785</c:v>
                </c:pt>
                <c:pt idx="61">
                  <c:v>14.148464089484</c:v>
                </c:pt>
                <c:pt idx="62">
                  <c:v>14.4613285068229</c:v>
                </c:pt>
                <c:pt idx="63">
                  <c:v>14.4007083024211</c:v>
                </c:pt>
                <c:pt idx="64">
                  <c:v>14.6651764057815</c:v>
                </c:pt>
                <c:pt idx="65">
                  <c:v>14.9100150374126</c:v>
                </c:pt>
                <c:pt idx="66">
                  <c:v>15.13239524915</c:v>
                </c:pt>
                <c:pt idx="67">
                  <c:v>15.3311424516978</c:v>
                </c:pt>
                <c:pt idx="68">
                  <c:v>15.5045281265931</c:v>
                </c:pt>
                <c:pt idx="69">
                  <c:v>15.6513878013897</c:v>
                </c:pt>
                <c:pt idx="70">
                  <c:v>15.7706082708575</c:v>
                </c:pt>
                <c:pt idx="71">
                  <c:v>15.8613998577983</c:v>
                </c:pt>
                <c:pt idx="72">
                  <c:v>15.9231966346374</c:v>
                </c:pt>
                <c:pt idx="73">
                  <c:v>15.5302284214776</c:v>
                </c:pt>
                <c:pt idx="74">
                  <c:v>15.5235578706647</c:v>
                </c:pt>
                <c:pt idx="75">
                  <c:v>15.4886117817643</c:v>
                </c:pt>
                <c:pt idx="76">
                  <c:v>15.4258302936483</c:v>
                </c:pt>
                <c:pt idx="77">
                  <c:v>15.3360927807822</c:v>
                </c:pt>
                <c:pt idx="78">
                  <c:v>15.2204744384832</c:v>
                </c:pt>
                <c:pt idx="79">
                  <c:v>15.0803011147183</c:v>
                </c:pt>
                <c:pt idx="80">
                  <c:v>14.9170987789393</c:v>
                </c:pt>
                <c:pt idx="81">
                  <c:v>14.7325746366145</c:v>
                </c:pt>
                <c:pt idx="82">
                  <c:v>14.528583671487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re!$Y$1</c:f>
              <c:strCache>
                <c:ptCount val="1"/>
                <c:pt idx="0">
                  <c:v>re_slow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re!$Y$2:$Y$86</c:f>
              <c:numCache>
                <c:formatCode>General</c:formatCode>
                <c:ptCount val="85"/>
                <c:pt idx="0">
                  <c:v>-52.7590087161878</c:v>
                </c:pt>
                <c:pt idx="1">
                  <c:v>-61.8428715045638</c:v>
                </c:pt>
                <c:pt idx="2">
                  <c:v>-48.9453801974782</c:v>
                </c:pt>
                <c:pt idx="3">
                  <c:v>-66.8095913534306</c:v>
                </c:pt>
                <c:pt idx="4">
                  <c:v>-57.7115202729017</c:v>
                </c:pt>
                <c:pt idx="5">
                  <c:v>-62.2682525895779</c:v>
                </c:pt>
                <c:pt idx="6">
                  <c:v>-70.7008019629529</c:v>
                </c:pt>
                <c:pt idx="7">
                  <c:v>-75.5494341400564</c:v>
                </c:pt>
                <c:pt idx="8">
                  <c:v>-61.8645686744546</c:v>
                </c:pt>
                <c:pt idx="9">
                  <c:v>-81.6078083770966</c:v>
                </c:pt>
                <c:pt idx="10">
                  <c:v>-91.9611029252998</c:v>
                </c:pt>
                <c:pt idx="11">
                  <c:v>-76.5218183685745</c:v>
                </c:pt>
                <c:pt idx="12">
                  <c:v>-86.0738280892748</c:v>
                </c:pt>
                <c:pt idx="13">
                  <c:v>-95.4994646320173</c:v>
                </c:pt>
                <c:pt idx="14">
                  <c:v>-68.0558312900992</c:v>
                </c:pt>
                <c:pt idx="15">
                  <c:v>-78.9268729341419</c:v>
                </c:pt>
                <c:pt idx="16">
                  <c:v>-96.3643209118004</c:v>
                </c:pt>
                <c:pt idx="17">
                  <c:v>-70.4653900022345</c:v>
                </c:pt>
                <c:pt idx="18">
                  <c:v>-91.1999610556924</c:v>
                </c:pt>
                <c:pt idx="19">
                  <c:v>-98.717545930872</c:v>
                </c:pt>
                <c:pt idx="20">
                  <c:v>-67.430769062431</c:v>
                </c:pt>
                <c:pt idx="21">
                  <c:v>-93.640694310021</c:v>
                </c:pt>
                <c:pt idx="22">
                  <c:v>-87.144064152983</c:v>
                </c:pt>
                <c:pt idx="23">
                  <c:v>-81.5877734121295</c:v>
                </c:pt>
                <c:pt idx="24">
                  <c:v>-95.8891581212862</c:v>
                </c:pt>
                <c:pt idx="25">
                  <c:v>-81.4863411903466</c:v>
                </c:pt>
                <c:pt idx="26">
                  <c:v>-70.8905732640452</c:v>
                </c:pt>
                <c:pt idx="27">
                  <c:v>-98.3973966813767</c:v>
                </c:pt>
                <c:pt idx="28">
                  <c:v>-76.3292283462502</c:v>
                </c:pt>
                <c:pt idx="29">
                  <c:v>-84.7742076450986</c:v>
                </c:pt>
                <c:pt idx="30">
                  <c:v>-65.320917756051</c:v>
                </c:pt>
                <c:pt idx="31">
                  <c:v>-89.3532408047715</c:v>
                </c:pt>
                <c:pt idx="32">
                  <c:v>-79.1110351356861</c:v>
                </c:pt>
                <c:pt idx="33">
                  <c:v>-74.9429461081386</c:v>
                </c:pt>
                <c:pt idx="34">
                  <c:v>-82.3209513975398</c:v>
                </c:pt>
                <c:pt idx="35">
                  <c:v>5.18855750797798</c:v>
                </c:pt>
                <c:pt idx="36">
                  <c:v>14.1974664988442</c:v>
                </c:pt>
                <c:pt idx="37">
                  <c:v>15.287073500978</c:v>
                </c:pt>
                <c:pt idx="38">
                  <c:v>16.6347966972413</c:v>
                </c:pt>
                <c:pt idx="39">
                  <c:v>17.7722709798489</c:v>
                </c:pt>
                <c:pt idx="40">
                  <c:v>18.9491355107185</c:v>
                </c:pt>
                <c:pt idx="41">
                  <c:v>20.1897490696978</c:v>
                </c:pt>
                <c:pt idx="42">
                  <c:v>21.4663697379736</c:v>
                </c:pt>
                <c:pt idx="43">
                  <c:v>22.0799353004775</c:v>
                </c:pt>
                <c:pt idx="44">
                  <c:v>23.3263147124751</c:v>
                </c:pt>
                <c:pt idx="45">
                  <c:v>24.5969569396276</c:v>
                </c:pt>
                <c:pt idx="46">
                  <c:v>25.7408685459759</c:v>
                </c:pt>
                <c:pt idx="47">
                  <c:v>26.8760395435219</c:v>
                </c:pt>
                <c:pt idx="48">
                  <c:v>27.9479056662524</c:v>
                </c:pt>
                <c:pt idx="49">
                  <c:v>28.9172423415962</c:v>
                </c:pt>
                <c:pt idx="50">
                  <c:v>29.7568654589331</c:v>
                </c:pt>
                <c:pt idx="51">
                  <c:v>30.439662435342</c:v>
                </c:pt>
                <c:pt idx="52">
                  <c:v>31.3126432880018</c:v>
                </c:pt>
                <c:pt idx="53">
                  <c:v>30.5012997887355</c:v>
                </c:pt>
                <c:pt idx="54">
                  <c:v>30.6530695081964</c:v>
                </c:pt>
                <c:pt idx="55">
                  <c:v>30.2191384894801</c:v>
                </c:pt>
                <c:pt idx="56">
                  <c:v>29.6036539794486</c:v>
                </c:pt>
                <c:pt idx="57">
                  <c:v>28.7552081744646</c:v>
                </c:pt>
                <c:pt idx="58">
                  <c:v>27.6794922307</c:v>
                </c:pt>
                <c:pt idx="59">
                  <c:v>26.3863765483852</c:v>
                </c:pt>
                <c:pt idx="60">
                  <c:v>24.8994930952273</c:v>
                </c:pt>
                <c:pt idx="61">
                  <c:v>23.2508925888808</c:v>
                </c:pt>
                <c:pt idx="62">
                  <c:v>21.477284629936</c:v>
                </c:pt>
                <c:pt idx="63">
                  <c:v>19.5559579580451</c:v>
                </c:pt>
                <c:pt idx="64">
                  <c:v>16.9998170394037</c:v>
                </c:pt>
                <c:pt idx="65">
                  <c:v>14.9269192428458</c:v>
                </c:pt>
                <c:pt idx="66">
                  <c:v>13.1001783987938</c:v>
                </c:pt>
                <c:pt idx="67">
                  <c:v>11.3397781416968</c:v>
                </c:pt>
                <c:pt idx="68">
                  <c:v>9.62437730938515</c:v>
                </c:pt>
                <c:pt idx="69">
                  <c:v>7.99839266383939</c:v>
                </c:pt>
                <c:pt idx="70">
                  <c:v>7.21781857877635</c:v>
                </c:pt>
                <c:pt idx="71">
                  <c:v>5.13750940686619</c:v>
                </c:pt>
                <c:pt idx="72">
                  <c:v>3.57554204994615</c:v>
                </c:pt>
                <c:pt idx="73">
                  <c:v>2.59905853634113</c:v>
                </c:pt>
                <c:pt idx="74">
                  <c:v>1.56798731518082</c:v>
                </c:pt>
                <c:pt idx="75">
                  <c:v>0.52534196370968</c:v>
                </c:pt>
                <c:pt idx="76">
                  <c:v>0.0760532334287412</c:v>
                </c:pt>
                <c:pt idx="77">
                  <c:v>-0.175128333775865</c:v>
                </c:pt>
                <c:pt idx="78">
                  <c:v>-0.892936782304066</c:v>
                </c:pt>
                <c:pt idx="79">
                  <c:v>-1.86077537920992</c:v>
                </c:pt>
                <c:pt idx="80">
                  <c:v>-1.10092231015546</c:v>
                </c:pt>
                <c:pt idx="81">
                  <c:v>-1.09687681419945</c:v>
                </c:pt>
                <c:pt idx="82">
                  <c:v>-2.19434937169138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7948110"/>
        <c:axId val="933685186"/>
      </c:lineChart>
      <c:catAx>
        <c:axId val="9979481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685186"/>
        <c:crosses val="autoZero"/>
        <c:auto val="1"/>
        <c:lblAlgn val="ctr"/>
        <c:lblOffset val="100"/>
        <c:noMultiLvlLbl val="0"/>
      </c:catAx>
      <c:valAx>
        <c:axId val="9336851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9481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re!$AA$1</c:f>
              <c:strCache>
                <c:ptCount val="1"/>
                <c:pt idx="0">
                  <c:v>re_speed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re!$AA$2:$AA$86</c:f>
              <c:numCache>
                <c:formatCode>General</c:formatCode>
                <c:ptCount val="85"/>
                <c:pt idx="0">
                  <c:v>0.980109067570238</c:v>
                </c:pt>
                <c:pt idx="1">
                  <c:v>0.962195875512278</c:v>
                </c:pt>
                <c:pt idx="2">
                  <c:v>0.941507464501913</c:v>
                </c:pt>
                <c:pt idx="3">
                  <c:v>0.923364349725653</c:v>
                </c:pt>
                <c:pt idx="4">
                  <c:v>0.903520840403052</c:v>
                </c:pt>
                <c:pt idx="5">
                  <c:v>0.881639917301805</c:v>
                </c:pt>
                <c:pt idx="6">
                  <c:v>0.856541016156341</c:v>
                </c:pt>
                <c:pt idx="7">
                  <c:v>0.835584583282305</c:v>
                </c:pt>
                <c:pt idx="8">
                  <c:v>0.81221649398179</c:v>
                </c:pt>
                <c:pt idx="9">
                  <c:v>0.784992059607132</c:v>
                </c:pt>
                <c:pt idx="10">
                  <c:v>0.762586972500193</c:v>
                </c:pt>
                <c:pt idx="11">
                  <c:v>0.735914684088499</c:v>
                </c:pt>
                <c:pt idx="12">
                  <c:v>0.715668027416468</c:v>
                </c:pt>
                <c:pt idx="13">
                  <c:v>0.69203606108791</c:v>
                </c:pt>
                <c:pt idx="14">
                  <c:v>0.667645724894294</c:v>
                </c:pt>
                <c:pt idx="15">
                  <c:v>0.644862773396064</c:v>
                </c:pt>
                <c:pt idx="16">
                  <c:v>0.617992042112391</c:v>
                </c:pt>
                <c:pt idx="17">
                  <c:v>0.594565711834876</c:v>
                </c:pt>
                <c:pt idx="18">
                  <c:v>0.575100668043042</c:v>
                </c:pt>
                <c:pt idx="19">
                  <c:v>0.548992506014881</c:v>
                </c:pt>
                <c:pt idx="20">
                  <c:v>0.529724944201063</c:v>
                </c:pt>
                <c:pt idx="21">
                  <c:v>0.507937977365465</c:v>
                </c:pt>
                <c:pt idx="22">
                  <c:v>0.486217041930447</c:v>
                </c:pt>
                <c:pt idx="23">
                  <c:v>0.464697482501532</c:v>
                </c:pt>
                <c:pt idx="24">
                  <c:v>0.443198601939754</c:v>
                </c:pt>
                <c:pt idx="25">
                  <c:v>0.42252227279188</c:v>
                </c:pt>
                <c:pt idx="26">
                  <c:v>0.404710603657371</c:v>
                </c:pt>
                <c:pt idx="27">
                  <c:v>0.383566889323419</c:v>
                </c:pt>
                <c:pt idx="28">
                  <c:v>0.367635172001397</c:v>
                </c:pt>
                <c:pt idx="29">
                  <c:v>0.345849882532659</c:v>
                </c:pt>
                <c:pt idx="30">
                  <c:v>0.328704798571804</c:v>
                </c:pt>
                <c:pt idx="31">
                  <c:v>0.311568236948221</c:v>
                </c:pt>
                <c:pt idx="32">
                  <c:v>0.296899833756331</c:v>
                </c:pt>
                <c:pt idx="33">
                  <c:v>0.280925518492331</c:v>
                </c:pt>
                <c:pt idx="34">
                  <c:v>0.265270188301496</c:v>
                </c:pt>
                <c:pt idx="35">
                  <c:v>0.249908217281549</c:v>
                </c:pt>
                <c:pt idx="36">
                  <c:v>0.234847447420193</c:v>
                </c:pt>
                <c:pt idx="37">
                  <c:v>0.220075333073926</c:v>
                </c:pt>
                <c:pt idx="38">
                  <c:v>0.205576936988709</c:v>
                </c:pt>
                <c:pt idx="39">
                  <c:v>0.191349563314204</c:v>
                </c:pt>
                <c:pt idx="40">
                  <c:v>0.17743655394006</c:v>
                </c:pt>
                <c:pt idx="41">
                  <c:v>0.163822179419257</c:v>
                </c:pt>
                <c:pt idx="42">
                  <c:v>0.150481765396282</c:v>
                </c:pt>
                <c:pt idx="43">
                  <c:v>0.137411591232183</c:v>
                </c:pt>
                <c:pt idx="44">
                  <c:v>0.124465670839839</c:v>
                </c:pt>
                <c:pt idx="45">
                  <c:v>0.11243517693743</c:v>
                </c:pt>
                <c:pt idx="46">
                  <c:v>0.100186847510776</c:v>
                </c:pt>
                <c:pt idx="47">
                  <c:v>0.0879731883569856</c:v>
                </c:pt>
                <c:pt idx="48">
                  <c:v>0.0759019104216807</c:v>
                </c:pt>
                <c:pt idx="49">
                  <c:v>0.0639991251640459</c:v>
                </c:pt>
                <c:pt idx="50">
                  <c:v>0.0630960593290608</c:v>
                </c:pt>
                <c:pt idx="51">
                  <c:v>0.0653367640108138</c:v>
                </c:pt>
                <c:pt idx="52">
                  <c:v>0.0676536716424166</c:v>
                </c:pt>
                <c:pt idx="53">
                  <c:v>0.0700475014019882</c:v>
                </c:pt>
                <c:pt idx="54">
                  <c:v>0.0724336425557833</c:v>
                </c:pt>
                <c:pt idx="55">
                  <c:v>0.0748960830861223</c:v>
                </c:pt>
                <c:pt idx="56">
                  <c:v>0.07743536070282</c:v>
                </c:pt>
                <c:pt idx="57">
                  <c:v>0.0800525490802343</c:v>
                </c:pt>
                <c:pt idx="58">
                  <c:v>0.0827485385740419</c:v>
                </c:pt>
                <c:pt idx="59">
                  <c:v>0.0855240368967539</c:v>
                </c:pt>
                <c:pt idx="60">
                  <c:v>0.0883795537078731</c:v>
                </c:pt>
                <c:pt idx="61">
                  <c:v>0.0913153871544969</c:v>
                </c:pt>
                <c:pt idx="62">
                  <c:v>0.0943288604882434</c:v>
                </c:pt>
                <c:pt idx="63">
                  <c:v>0.0974180991163483</c:v>
                </c:pt>
                <c:pt idx="64">
                  <c:v>0.100490636320542</c:v>
                </c:pt>
                <c:pt idx="65">
                  <c:v>0.103635252657291</c:v>
                </c:pt>
                <c:pt idx="66">
                  <c:v>0.106850704708903</c:v>
                </c:pt>
                <c:pt idx="67">
                  <c:v>0.110135559034514</c:v>
                </c:pt>
                <c:pt idx="68">
                  <c:v>0.113488146902238</c:v>
                </c:pt>
                <c:pt idx="69">
                  <c:v>0.116906556279882</c:v>
                </c:pt>
                <c:pt idx="70">
                  <c:v>0.120388632840639</c:v>
                </c:pt>
                <c:pt idx="71">
                  <c:v>0.123931986192695</c:v>
                </c:pt>
                <c:pt idx="72">
                  <c:v>0.127533998538659</c:v>
                </c:pt>
                <c:pt idx="73">
                  <c:v>0.131191834661507</c:v>
                </c:pt>
                <c:pt idx="74">
                  <c:v>0.134797345782866</c:v>
                </c:pt>
                <c:pt idx="75">
                  <c:v>0.138450450660646</c:v>
                </c:pt>
                <c:pt idx="76">
                  <c:v>0.142147617157677</c:v>
                </c:pt>
                <c:pt idx="77">
                  <c:v>0.145885255581265</c:v>
                </c:pt>
                <c:pt idx="78">
                  <c:v>0.149659661389088</c:v>
                </c:pt>
                <c:pt idx="79">
                  <c:v>0.153467019154611</c:v>
                </c:pt>
                <c:pt idx="80">
                  <c:v>0.157303422252489</c:v>
                </c:pt>
                <c:pt idx="81">
                  <c:v>0.161168090603215</c:v>
                </c:pt>
                <c:pt idx="82">
                  <c:v>0.165053637856298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re!$AB$1</c:f>
              <c:strCache>
                <c:ptCount val="1"/>
                <c:pt idx="0">
                  <c:v>re_default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re!$AB$2:$AB$86</c:f>
              <c:numCache>
                <c:formatCode>General</c:formatCode>
                <c:ptCount val="85"/>
                <c:pt idx="0">
                  <c:v>0.980109067570238</c:v>
                </c:pt>
                <c:pt idx="1">
                  <c:v>0.958709715778475</c:v>
                </c:pt>
                <c:pt idx="2">
                  <c:v>0.941250206478294</c:v>
                </c:pt>
                <c:pt idx="3">
                  <c:v>0.923227749377558</c:v>
                </c:pt>
                <c:pt idx="4">
                  <c:v>0.904695785152366</c:v>
                </c:pt>
                <c:pt idx="5">
                  <c:v>0.882467601756805</c:v>
                </c:pt>
                <c:pt idx="6">
                  <c:v>0.859261818436756</c:v>
                </c:pt>
                <c:pt idx="7">
                  <c:v>0.835077888850523</c:v>
                </c:pt>
                <c:pt idx="8">
                  <c:v>0.812855785363551</c:v>
                </c:pt>
                <c:pt idx="9">
                  <c:v>0.783824275902122</c:v>
                </c:pt>
                <c:pt idx="10">
                  <c:v>0.761173805407911</c:v>
                </c:pt>
                <c:pt idx="11">
                  <c:v>0.739167057251882</c:v>
                </c:pt>
                <c:pt idx="12">
                  <c:v>0.711915465171169</c:v>
                </c:pt>
                <c:pt idx="13">
                  <c:v>0.682637538819876</c:v>
                </c:pt>
                <c:pt idx="14">
                  <c:v>0.658038312018481</c:v>
                </c:pt>
                <c:pt idx="15">
                  <c:v>0.626828199957997</c:v>
                </c:pt>
                <c:pt idx="16">
                  <c:v>0.60210482010107</c:v>
                </c:pt>
                <c:pt idx="17">
                  <c:v>0.570470130206238</c:v>
                </c:pt>
                <c:pt idx="18">
                  <c:v>0.544045687277179</c:v>
                </c:pt>
                <c:pt idx="19">
                  <c:v>0.516424382791579</c:v>
                </c:pt>
                <c:pt idx="20">
                  <c:v>0.489902290980656</c:v>
                </c:pt>
                <c:pt idx="21">
                  <c:v>0.46297192505892</c:v>
                </c:pt>
                <c:pt idx="22">
                  <c:v>0.436525256710605</c:v>
                </c:pt>
                <c:pt idx="23">
                  <c:v>0.410188732083894</c:v>
                </c:pt>
                <c:pt idx="24">
                  <c:v>0.383968091607551</c:v>
                </c:pt>
                <c:pt idx="25">
                  <c:v>0.356172807730443</c:v>
                </c:pt>
                <c:pt idx="26">
                  <c:v>0.331115734996984</c:v>
                </c:pt>
                <c:pt idx="27">
                  <c:v>0.306702633433724</c:v>
                </c:pt>
                <c:pt idx="28">
                  <c:v>0.282515254615898</c:v>
                </c:pt>
                <c:pt idx="29">
                  <c:v>0.259483460705359</c:v>
                </c:pt>
                <c:pt idx="30">
                  <c:v>0.239090266732589</c:v>
                </c:pt>
                <c:pt idx="31">
                  <c:v>0.216425211001994</c:v>
                </c:pt>
                <c:pt idx="32">
                  <c:v>0.195588836259393</c:v>
                </c:pt>
                <c:pt idx="33">
                  <c:v>0.174888485994355</c:v>
                </c:pt>
                <c:pt idx="34">
                  <c:v>0.155144255765092</c:v>
                </c:pt>
                <c:pt idx="35">
                  <c:v>0.135558891282089</c:v>
                </c:pt>
                <c:pt idx="36">
                  <c:v>0.116959697314062</c:v>
                </c:pt>
                <c:pt idx="37">
                  <c:v>0.0988048277251803</c:v>
                </c:pt>
                <c:pt idx="38">
                  <c:v>0.081306168045873</c:v>
                </c:pt>
                <c:pt idx="39">
                  <c:v>0.0679471195336156</c:v>
                </c:pt>
                <c:pt idx="40">
                  <c:v>0.0502849813318606</c:v>
                </c:pt>
                <c:pt idx="41">
                  <c:v>0.0468699133480273</c:v>
                </c:pt>
                <c:pt idx="42">
                  <c:v>0.0493864748755235</c:v>
                </c:pt>
                <c:pt idx="43">
                  <c:v>0.0520193824283425</c:v>
                </c:pt>
                <c:pt idx="44">
                  <c:v>0.0547320859390532</c:v>
                </c:pt>
                <c:pt idx="45">
                  <c:v>0.0575895104304943</c:v>
                </c:pt>
                <c:pt idx="46">
                  <c:v>0.0603705842818107</c:v>
                </c:pt>
                <c:pt idx="47">
                  <c:v>0.0634439332888847</c:v>
                </c:pt>
                <c:pt idx="48">
                  <c:v>0.0665260495845373</c:v>
                </c:pt>
                <c:pt idx="49">
                  <c:v>0.0696329765834284</c:v>
                </c:pt>
                <c:pt idx="50">
                  <c:v>0.0730300843273424</c:v>
                </c:pt>
                <c:pt idx="51">
                  <c:v>0.0763410275966684</c:v>
                </c:pt>
                <c:pt idx="52">
                  <c:v>0.079958837516408</c:v>
                </c:pt>
                <c:pt idx="53">
                  <c:v>0.0835110780053268</c:v>
                </c:pt>
                <c:pt idx="54">
                  <c:v>0.0872862904082379</c:v>
                </c:pt>
                <c:pt idx="55">
                  <c:v>0.090991963841344</c:v>
                </c:pt>
                <c:pt idx="56">
                  <c:v>0.0949765851652125</c:v>
                </c:pt>
                <c:pt idx="57">
                  <c:v>0.0989041970634137</c:v>
                </c:pt>
                <c:pt idx="58">
                  <c:v>0.10307104215229</c:v>
                </c:pt>
                <c:pt idx="59">
                  <c:v>0.107210900775784</c:v>
                </c:pt>
                <c:pt idx="60">
                  <c:v>0.111531948882342</c:v>
                </c:pt>
                <c:pt idx="61">
                  <c:v>0.116123801113937</c:v>
                </c:pt>
                <c:pt idx="62">
                  <c:v>0.120839955810432</c:v>
                </c:pt>
                <c:pt idx="63">
                  <c:v>0.125660398646039</c:v>
                </c:pt>
                <c:pt idx="64">
                  <c:v>0.130460634746846</c:v>
                </c:pt>
                <c:pt idx="65">
                  <c:v>0.135349026882107</c:v>
                </c:pt>
                <c:pt idx="66">
                  <c:v>0.140319031894578</c:v>
                </c:pt>
                <c:pt idx="67">
                  <c:v>0.145363163644294</c:v>
                </c:pt>
                <c:pt idx="68">
                  <c:v>0.150473544461527</c:v>
                </c:pt>
                <c:pt idx="69">
                  <c:v>0.155641720503725</c:v>
                </c:pt>
                <c:pt idx="70">
                  <c:v>0.160858849770854</c:v>
                </c:pt>
                <c:pt idx="71">
                  <c:v>0.166115719194474</c:v>
                </c:pt>
                <c:pt idx="72">
                  <c:v>0.171402852480406</c:v>
                </c:pt>
                <c:pt idx="73">
                  <c:v>0.176710584691952</c:v>
                </c:pt>
                <c:pt idx="74">
                  <c:v>0.181887327499111</c:v>
                </c:pt>
                <c:pt idx="75">
                  <c:v>0.187061846789333</c:v>
                </c:pt>
                <c:pt idx="76">
                  <c:v>0.192224717383254</c:v>
                </c:pt>
                <c:pt idx="77">
                  <c:v>0.19736666081447</c:v>
                </c:pt>
                <c:pt idx="78">
                  <c:v>0.202478691741398</c:v>
                </c:pt>
                <c:pt idx="79">
                  <c:v>0.207552183220892</c:v>
                </c:pt>
                <c:pt idx="80">
                  <c:v>0.212578950259132</c:v>
                </c:pt>
                <c:pt idx="81">
                  <c:v>0.217551316518778</c:v>
                </c:pt>
                <c:pt idx="82">
                  <c:v>0.222462174730983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re!$AC$1</c:f>
              <c:strCache>
                <c:ptCount val="1"/>
                <c:pt idx="0">
                  <c:v>re_slow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re!$AC$2:$AC$86</c:f>
              <c:numCache>
                <c:formatCode>General</c:formatCode>
                <c:ptCount val="85"/>
                <c:pt idx="0">
                  <c:v>0.980109067570238</c:v>
                </c:pt>
                <c:pt idx="1">
                  <c:v>0.962522731331509</c:v>
                </c:pt>
                <c:pt idx="2">
                  <c:v>0.941908440829987</c:v>
                </c:pt>
                <c:pt idx="3">
                  <c:v>0.925593314097495</c:v>
                </c:pt>
                <c:pt idx="4">
                  <c:v>0.903323450313018</c:v>
                </c:pt>
                <c:pt idx="5">
                  <c:v>0.884086276888717</c:v>
                </c:pt>
                <c:pt idx="6">
                  <c:v>0.863330192692191</c:v>
                </c:pt>
                <c:pt idx="7">
                  <c:v>0.83976325870454</c:v>
                </c:pt>
                <c:pt idx="8">
                  <c:v>0.814580113991188</c:v>
                </c:pt>
                <c:pt idx="9">
                  <c:v>0.793958591099703</c:v>
                </c:pt>
                <c:pt idx="10">
                  <c:v>0.766755988307338</c:v>
                </c:pt>
                <c:pt idx="11">
                  <c:v>0.736102287332238</c:v>
                </c:pt>
                <c:pt idx="12">
                  <c:v>0.710595014542713</c:v>
                </c:pt>
                <c:pt idx="13">
                  <c:v>0.681903738512955</c:v>
                </c:pt>
                <c:pt idx="14">
                  <c:v>0.650070583635616</c:v>
                </c:pt>
                <c:pt idx="15">
                  <c:v>0.627385306538916</c:v>
                </c:pt>
                <c:pt idx="16">
                  <c:v>0.601076348894202</c:v>
                </c:pt>
                <c:pt idx="17">
                  <c:v>0.568954908590269</c:v>
                </c:pt>
                <c:pt idx="18">
                  <c:v>0.54546644525619</c:v>
                </c:pt>
                <c:pt idx="19">
                  <c:v>0.515066458237626</c:v>
                </c:pt>
                <c:pt idx="20">
                  <c:v>0.482160609594002</c:v>
                </c:pt>
                <c:pt idx="21">
                  <c:v>0.459683686573192</c:v>
                </c:pt>
                <c:pt idx="22">
                  <c:v>0.428470121803185</c:v>
                </c:pt>
                <c:pt idx="23">
                  <c:v>0.399422100418857</c:v>
                </c:pt>
                <c:pt idx="24">
                  <c:v>0.372226175948147</c:v>
                </c:pt>
                <c:pt idx="25">
                  <c:v>0.340263123241052</c:v>
                </c:pt>
                <c:pt idx="26">
                  <c:v>0.313101009510937</c:v>
                </c:pt>
                <c:pt idx="27">
                  <c:v>0.289470818422921</c:v>
                </c:pt>
                <c:pt idx="28">
                  <c:v>0.256671686195796</c:v>
                </c:pt>
                <c:pt idx="29">
                  <c:v>0.231228610080379</c:v>
                </c:pt>
                <c:pt idx="30">
                  <c:v>0.202970540865346</c:v>
                </c:pt>
                <c:pt idx="31">
                  <c:v>0.181196901613329</c:v>
                </c:pt>
                <c:pt idx="32">
                  <c:v>0.151412488011739</c:v>
                </c:pt>
                <c:pt idx="33">
                  <c:v>0.12504214296651</c:v>
                </c:pt>
                <c:pt idx="34">
                  <c:v>0.100061160930464</c:v>
                </c:pt>
                <c:pt idx="35">
                  <c:v>0.0726208437979507</c:v>
                </c:pt>
                <c:pt idx="36">
                  <c:v>0.0743503629672767</c:v>
                </c:pt>
                <c:pt idx="37">
                  <c:v>0.0790828518002247</c:v>
                </c:pt>
                <c:pt idx="38">
                  <c:v>0.0841785429672174</c:v>
                </c:pt>
                <c:pt idx="39">
                  <c:v>0.0897234751996312</c:v>
                </c:pt>
                <c:pt idx="40">
                  <c:v>0.0956475655262475</c:v>
                </c:pt>
                <c:pt idx="41">
                  <c:v>0.10196394402982</c:v>
                </c:pt>
                <c:pt idx="42">
                  <c:v>0.108693860386386</c:v>
                </c:pt>
                <c:pt idx="43">
                  <c:v>0.115849316965711</c:v>
                </c:pt>
                <c:pt idx="44">
                  <c:v>0.123209295399203</c:v>
                </c:pt>
                <c:pt idx="45">
                  <c:v>0.130984733636695</c:v>
                </c:pt>
                <c:pt idx="46">
                  <c:v>0.139183719283238</c:v>
                </c:pt>
                <c:pt idx="47">
                  <c:v>0.147764008798563</c:v>
                </c:pt>
                <c:pt idx="48">
                  <c:v>0.156722688646403</c:v>
                </c:pt>
                <c:pt idx="49">
                  <c:v>0.166038657201821</c:v>
                </c:pt>
                <c:pt idx="50">
                  <c:v>0.175677737982353</c:v>
                </c:pt>
                <c:pt idx="51">
                  <c:v>0.185596693135331</c:v>
                </c:pt>
                <c:pt idx="52">
                  <c:v>0.195743247280445</c:v>
                </c:pt>
                <c:pt idx="53">
                  <c:v>0.206180795043112</c:v>
                </c:pt>
                <c:pt idx="54">
                  <c:v>0.21634789497269</c:v>
                </c:pt>
                <c:pt idx="55">
                  <c:v>0.226565584808756</c:v>
                </c:pt>
                <c:pt idx="56">
                  <c:v>0.236638630971916</c:v>
                </c:pt>
                <c:pt idx="57">
                  <c:v>0.246506515631732</c:v>
                </c:pt>
                <c:pt idx="58">
                  <c:v>0.25609158502322</c:v>
                </c:pt>
                <c:pt idx="59">
                  <c:v>0.265318082433454</c:v>
                </c:pt>
                <c:pt idx="60">
                  <c:v>0.274113541282915</c:v>
                </c:pt>
                <c:pt idx="61">
                  <c:v>0.282413372314658</c:v>
                </c:pt>
                <c:pt idx="62">
                  <c:v>0.290163669844285</c:v>
                </c:pt>
                <c:pt idx="63">
                  <c:v>0.29732276472093</c:v>
                </c:pt>
                <c:pt idx="64">
                  <c:v>0.303841417373612</c:v>
                </c:pt>
                <c:pt idx="65">
                  <c:v>0.309508023053413</c:v>
                </c:pt>
                <c:pt idx="66">
                  <c:v>0.314483662801028</c:v>
                </c:pt>
                <c:pt idx="67">
                  <c:v>0.31885038893396</c:v>
                </c:pt>
                <c:pt idx="68">
                  <c:v>0.322630314981192</c:v>
                </c:pt>
                <c:pt idx="69">
                  <c:v>0.325838440750987</c:v>
                </c:pt>
                <c:pt idx="70">
                  <c:v>0.328504571638933</c:v>
                </c:pt>
                <c:pt idx="71">
                  <c:v>0.330910511165192</c:v>
                </c:pt>
                <c:pt idx="72">
                  <c:v>0.332623014300814</c:v>
                </c:pt>
                <c:pt idx="73">
                  <c:v>0.333814861650796</c:v>
                </c:pt>
                <c:pt idx="74">
                  <c:v>0.334681214496243</c:v>
                </c:pt>
                <c:pt idx="75">
                  <c:v>0.335203876934637</c:v>
                </c:pt>
                <c:pt idx="76">
                  <c:v>0.33537899092254</c:v>
                </c:pt>
                <c:pt idx="77">
                  <c:v>0.33540434200035</c:v>
                </c:pt>
                <c:pt idx="78">
                  <c:v>0.335345965889091</c:v>
                </c:pt>
                <c:pt idx="79">
                  <c:v>0.33504832029499</c:v>
                </c:pt>
                <c:pt idx="80">
                  <c:v>0.334428061835253</c:v>
                </c:pt>
                <c:pt idx="81">
                  <c:v>0.334061087731868</c:v>
                </c:pt>
                <c:pt idx="82">
                  <c:v>0.333695462127135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8124107"/>
        <c:axId val="663043633"/>
      </c:lineChart>
      <c:catAx>
        <c:axId val="2381241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043633"/>
        <c:crosses val="autoZero"/>
        <c:auto val="1"/>
        <c:lblAlgn val="ctr"/>
        <c:lblOffset val="100"/>
        <c:noMultiLvlLbl val="0"/>
      </c:catAx>
      <c:valAx>
        <c:axId val="663043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1241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1109980</xdr:colOff>
      <xdr:row>7</xdr:row>
      <xdr:rowOff>48895</xdr:rowOff>
    </xdr:from>
    <xdr:to>
      <xdr:col>16</xdr:col>
      <xdr:colOff>83820</xdr:colOff>
      <xdr:row>29</xdr:row>
      <xdr:rowOff>93980</xdr:rowOff>
    </xdr:to>
    <xdr:graphicFrame>
      <xdr:nvGraphicFramePr>
        <xdr:cNvPr id="3" name="图表 2"/>
        <xdr:cNvGraphicFramePr/>
      </xdr:nvGraphicFramePr>
      <xdr:xfrm>
        <a:off x="5308600" y="1329055"/>
        <a:ext cx="6464300" cy="4068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803275</xdr:colOff>
      <xdr:row>13</xdr:row>
      <xdr:rowOff>25400</xdr:rowOff>
    </xdr:from>
    <xdr:to>
      <xdr:col>20</xdr:col>
      <xdr:colOff>690880</xdr:colOff>
      <xdr:row>29</xdr:row>
      <xdr:rowOff>116840</xdr:rowOff>
    </xdr:to>
    <xdr:graphicFrame>
      <xdr:nvGraphicFramePr>
        <xdr:cNvPr id="5" name="图表 4"/>
        <xdr:cNvGraphicFramePr/>
      </xdr:nvGraphicFramePr>
      <xdr:xfrm>
        <a:off x="9711055" y="2402840"/>
        <a:ext cx="5541645" cy="301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314325</xdr:colOff>
      <xdr:row>31</xdr:row>
      <xdr:rowOff>174625</xdr:rowOff>
    </xdr:from>
    <xdr:to>
      <xdr:col>20</xdr:col>
      <xdr:colOff>370205</xdr:colOff>
      <xdr:row>46</xdr:row>
      <xdr:rowOff>174625</xdr:rowOff>
    </xdr:to>
    <xdr:graphicFrame>
      <xdr:nvGraphicFramePr>
        <xdr:cNvPr id="6" name="图表 5"/>
        <xdr:cNvGraphicFramePr/>
      </xdr:nvGraphicFramePr>
      <xdr:xfrm>
        <a:off x="10106025" y="584390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403225</xdr:colOff>
      <xdr:row>15</xdr:row>
      <xdr:rowOff>85725</xdr:rowOff>
    </xdr:from>
    <xdr:to>
      <xdr:col>27</xdr:col>
      <xdr:colOff>375285</xdr:colOff>
      <xdr:row>30</xdr:row>
      <xdr:rowOff>85725</xdr:rowOff>
    </xdr:to>
    <xdr:graphicFrame>
      <xdr:nvGraphicFramePr>
        <xdr:cNvPr id="8" name="图表 7"/>
        <xdr:cNvGraphicFramePr/>
      </xdr:nvGraphicFramePr>
      <xdr:xfrm>
        <a:off x="15848965" y="28289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511175</xdr:colOff>
      <xdr:row>31</xdr:row>
      <xdr:rowOff>113030</xdr:rowOff>
    </xdr:from>
    <xdr:to>
      <xdr:col>27</xdr:col>
      <xdr:colOff>483235</xdr:colOff>
      <xdr:row>46</xdr:row>
      <xdr:rowOff>113030</xdr:rowOff>
    </xdr:to>
    <xdr:graphicFrame>
      <xdr:nvGraphicFramePr>
        <xdr:cNvPr id="9" name="图表 8"/>
        <xdr:cNvGraphicFramePr/>
      </xdr:nvGraphicFramePr>
      <xdr:xfrm>
        <a:off x="15956915" y="57823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568960</xdr:colOff>
      <xdr:row>11</xdr:row>
      <xdr:rowOff>149860</xdr:rowOff>
    </xdr:from>
    <xdr:to>
      <xdr:col>10</xdr:col>
      <xdr:colOff>457200</xdr:colOff>
      <xdr:row>26</xdr:row>
      <xdr:rowOff>149860</xdr:rowOff>
    </xdr:to>
    <xdr:graphicFrame>
      <xdr:nvGraphicFramePr>
        <xdr:cNvPr id="10" name="图表 9"/>
        <xdr:cNvGraphicFramePr/>
      </xdr:nvGraphicFramePr>
      <xdr:xfrm>
        <a:off x="1803400" y="2161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193675</xdr:colOff>
      <xdr:row>7</xdr:row>
      <xdr:rowOff>131445</xdr:rowOff>
    </xdr:from>
    <xdr:to>
      <xdr:col>10</xdr:col>
      <xdr:colOff>28575</xdr:colOff>
      <xdr:row>35</xdr:row>
      <xdr:rowOff>109855</xdr:rowOff>
    </xdr:to>
    <xdr:graphicFrame>
      <xdr:nvGraphicFramePr>
        <xdr:cNvPr id="3" name="图表 2"/>
        <xdr:cNvGraphicFramePr/>
      </xdr:nvGraphicFramePr>
      <xdr:xfrm>
        <a:off x="810895" y="1411605"/>
        <a:ext cx="7241540" cy="5099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299720</xdr:colOff>
      <xdr:row>8</xdr:row>
      <xdr:rowOff>102870</xdr:rowOff>
    </xdr:from>
    <xdr:to>
      <xdr:col>18</xdr:col>
      <xdr:colOff>478155</xdr:colOff>
      <xdr:row>26</xdr:row>
      <xdr:rowOff>86360</xdr:rowOff>
    </xdr:to>
    <xdr:graphicFrame>
      <xdr:nvGraphicFramePr>
        <xdr:cNvPr id="4" name="图表 3"/>
        <xdr:cNvGraphicFramePr/>
      </xdr:nvGraphicFramePr>
      <xdr:xfrm>
        <a:off x="8323580" y="1565910"/>
        <a:ext cx="5916295" cy="3275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389255</xdr:colOff>
      <xdr:row>29</xdr:row>
      <xdr:rowOff>137795</xdr:rowOff>
    </xdr:from>
    <xdr:to>
      <xdr:col>19</xdr:col>
      <xdr:colOff>334010</xdr:colOff>
      <xdr:row>49</xdr:row>
      <xdr:rowOff>62230</xdr:rowOff>
    </xdr:to>
    <xdr:graphicFrame>
      <xdr:nvGraphicFramePr>
        <xdr:cNvPr id="6" name="图表 5"/>
        <xdr:cNvGraphicFramePr/>
      </xdr:nvGraphicFramePr>
      <xdr:xfrm>
        <a:off x="8413115" y="5441315"/>
        <a:ext cx="6299835" cy="3582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243840</xdr:colOff>
      <xdr:row>39</xdr:row>
      <xdr:rowOff>117475</xdr:rowOff>
    </xdr:from>
    <xdr:to>
      <xdr:col>7</xdr:col>
      <xdr:colOff>482600</xdr:colOff>
      <xdr:row>54</xdr:row>
      <xdr:rowOff>117475</xdr:rowOff>
    </xdr:to>
    <xdr:graphicFrame>
      <xdr:nvGraphicFramePr>
        <xdr:cNvPr id="7" name="图表 6"/>
        <xdr:cNvGraphicFramePr/>
      </xdr:nvGraphicFramePr>
      <xdr:xfrm>
        <a:off x="1478280" y="72497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2"/>
  <sheetViews>
    <sheetView topLeftCell="A22" workbookViewId="0">
      <selection activeCell="T12" sqref="T12"/>
    </sheetView>
  </sheetViews>
  <sheetFormatPr defaultColWidth="9" defaultRowHeight="14.4"/>
  <cols>
    <col min="1" max="1" width="9" style="6"/>
    <col min="2" max="2" width="8.44444444444444" style="6" customWidth="1"/>
    <col min="3" max="3" width="12.8888888888889" style="6"/>
    <col min="5" max="5" width="21.8888888888889" customWidth="1"/>
    <col min="6" max="6" width="19.2222222222222" customWidth="1"/>
    <col min="7" max="7" width="9" style="6"/>
    <col min="12" max="12" width="9" style="6"/>
  </cols>
  <sheetData>
    <row r="1" spans="1:12">
      <c r="A1" s="7" t="s">
        <v>0</v>
      </c>
      <c r="B1" s="7" t="s">
        <v>1</v>
      </c>
      <c r="C1" s="7" t="s">
        <v>2</v>
      </c>
      <c r="E1" s="8"/>
      <c r="F1" t="s">
        <v>3</v>
      </c>
      <c r="G1" s="7" t="s">
        <v>4</v>
      </c>
      <c r="K1" t="s">
        <v>5</v>
      </c>
      <c r="L1" s="7" t="s">
        <v>6</v>
      </c>
    </row>
    <row r="2" spans="1:12">
      <c r="A2" s="6">
        <v>1850</v>
      </c>
      <c r="B2" s="6">
        <v>52.852344171439</v>
      </c>
      <c r="C2" s="6">
        <v>52.852344171439</v>
      </c>
      <c r="G2" s="6">
        <v>52.852344171439</v>
      </c>
      <c r="L2" s="6">
        <v>52.852344171439</v>
      </c>
    </row>
    <row r="3" spans="1:12">
      <c r="A3" s="6">
        <v>1851</v>
      </c>
      <c r="B3" s="6">
        <v>52.852344171439</v>
      </c>
      <c r="C3" s="6">
        <v>52.852344171439</v>
      </c>
      <c r="G3" s="6">
        <v>52.852344171439</v>
      </c>
      <c r="L3" s="6">
        <v>52.852344171439</v>
      </c>
    </row>
    <row r="4" spans="1:12">
      <c r="A4" s="6">
        <v>1852</v>
      </c>
      <c r="B4" s="6">
        <v>52.9934744031856</v>
      </c>
      <c r="C4" s="6">
        <v>52.9934744031856</v>
      </c>
      <c r="G4" s="6">
        <v>52.9934744031856</v>
      </c>
      <c r="L4" s="6">
        <v>52.9934744031856</v>
      </c>
    </row>
    <row r="5" spans="1:12">
      <c r="A5" s="6">
        <v>1853</v>
      </c>
      <c r="B5" s="6">
        <v>53.08756122435</v>
      </c>
      <c r="C5" s="6">
        <v>53.08756122435</v>
      </c>
      <c r="G5" s="6">
        <v>53.08756122435</v>
      </c>
      <c r="L5" s="6">
        <v>53.08756122435</v>
      </c>
    </row>
    <row r="6" spans="1:12">
      <c r="A6" s="6">
        <v>1854</v>
      </c>
      <c r="B6" s="6">
        <v>53.557995330172</v>
      </c>
      <c r="C6" s="6">
        <v>53.557995330172</v>
      </c>
      <c r="G6" s="6">
        <v>53.557995330172</v>
      </c>
      <c r="L6" s="6">
        <v>53.557995330172</v>
      </c>
    </row>
    <row r="7" spans="1:12">
      <c r="A7" s="6">
        <v>1855</v>
      </c>
      <c r="B7" s="6">
        <v>53.6520821513364</v>
      </c>
      <c r="C7" s="6">
        <v>53.6520821513364</v>
      </c>
      <c r="G7" s="6">
        <v>53.6520821513364</v>
      </c>
      <c r="L7" s="6">
        <v>53.6520821513364</v>
      </c>
    </row>
    <row r="8" spans="1:12">
      <c r="A8" s="6">
        <v>1856</v>
      </c>
      <c r="B8" s="6">
        <v>53.8872992042474</v>
      </c>
      <c r="C8" s="6">
        <v>53.8872992042474</v>
      </c>
      <c r="G8" s="6">
        <v>53.8872992042474</v>
      </c>
      <c r="L8" s="6">
        <v>53.8872992042474</v>
      </c>
    </row>
    <row r="9" spans="1:12">
      <c r="A9" s="6">
        <v>1857</v>
      </c>
      <c r="B9" s="6">
        <v>53.9343426148296</v>
      </c>
      <c r="C9" s="6">
        <v>53.9343426148296</v>
      </c>
      <c r="G9" s="6">
        <v>53.9343426148296</v>
      </c>
      <c r="L9" s="6">
        <v>53.9343426148296</v>
      </c>
    </row>
    <row r="10" spans="1:12">
      <c r="A10" s="6">
        <v>1858</v>
      </c>
      <c r="B10" s="6">
        <v>53.9813860254118</v>
      </c>
      <c r="C10" s="6">
        <v>53.9813860254118</v>
      </c>
      <c r="G10" s="6">
        <v>53.9813860254118</v>
      </c>
      <c r="L10" s="6">
        <v>53.9813860254118</v>
      </c>
    </row>
    <row r="11" spans="1:12">
      <c r="A11" s="6">
        <v>1859</v>
      </c>
      <c r="B11" s="6">
        <v>54.2166030783228</v>
      </c>
      <c r="C11" s="6">
        <v>54.2166030783228</v>
      </c>
      <c r="G11" s="6">
        <v>54.2166030783228</v>
      </c>
      <c r="L11" s="6">
        <v>54.2166030783228</v>
      </c>
    </row>
    <row r="12" spans="1:12">
      <c r="A12" s="6">
        <v>1860</v>
      </c>
      <c r="B12" s="6">
        <v>54.5929503629805</v>
      </c>
      <c r="C12" s="6">
        <v>54.5929503629805</v>
      </c>
      <c r="G12" s="6">
        <v>54.5929503629805</v>
      </c>
      <c r="L12" s="6">
        <v>54.5929503629805</v>
      </c>
    </row>
    <row r="13" spans="1:12">
      <c r="A13" s="6">
        <v>1861</v>
      </c>
      <c r="B13" s="6">
        <v>54.7811240053093</v>
      </c>
      <c r="C13" s="6">
        <v>54.7811240053093</v>
      </c>
      <c r="G13" s="6">
        <v>54.7811240053093</v>
      </c>
      <c r="L13" s="6">
        <v>54.7811240053093</v>
      </c>
    </row>
    <row r="14" spans="1:12">
      <c r="A14" s="6">
        <v>1862</v>
      </c>
      <c r="B14" s="6">
        <v>54.8752108264737</v>
      </c>
      <c r="C14" s="6">
        <v>54.8752108264737</v>
      </c>
      <c r="G14" s="6">
        <v>54.8752108264737</v>
      </c>
      <c r="L14" s="6">
        <v>54.8752108264737</v>
      </c>
    </row>
    <row r="15" spans="1:12">
      <c r="A15" s="6">
        <v>1863</v>
      </c>
      <c r="B15" s="6">
        <v>55.2045147005491</v>
      </c>
      <c r="C15" s="6">
        <v>55.2045147005491</v>
      </c>
      <c r="G15" s="6">
        <v>55.2045147005491</v>
      </c>
      <c r="L15" s="6">
        <v>55.2045147005491</v>
      </c>
    </row>
    <row r="16" spans="1:12">
      <c r="A16" s="6">
        <v>1864</v>
      </c>
      <c r="B16" s="6">
        <v>55.5808619852067</v>
      </c>
      <c r="C16" s="6">
        <v>55.5808619852067</v>
      </c>
      <c r="G16" s="6">
        <v>55.5808619852067</v>
      </c>
      <c r="L16" s="6">
        <v>55.5808619852067</v>
      </c>
    </row>
    <row r="17" spans="1:12">
      <c r="A17" s="6">
        <v>1865</v>
      </c>
      <c r="B17" s="6">
        <v>55.9101658592821</v>
      </c>
      <c r="C17" s="6">
        <v>55.9101658592821</v>
      </c>
      <c r="G17" s="6">
        <v>55.9101658592821</v>
      </c>
      <c r="L17" s="6">
        <v>55.9101658592821</v>
      </c>
    </row>
    <row r="18" spans="1:12">
      <c r="A18" s="6">
        <v>1866</v>
      </c>
      <c r="B18" s="6">
        <v>56.0512960910288</v>
      </c>
      <c r="C18" s="6">
        <v>56.0512960910288</v>
      </c>
      <c r="G18" s="6">
        <v>56.0512960910288</v>
      </c>
      <c r="L18" s="6">
        <v>56.0512960910288</v>
      </c>
    </row>
    <row r="19" spans="1:12">
      <c r="A19" s="6">
        <v>1867</v>
      </c>
      <c r="B19" s="6">
        <v>56.4276433756864</v>
      </c>
      <c r="C19" s="6">
        <v>56.4276433756864</v>
      </c>
      <c r="G19" s="6">
        <v>56.4276433756864</v>
      </c>
      <c r="L19" s="6">
        <v>56.4276433756864</v>
      </c>
    </row>
    <row r="20" spans="1:12">
      <c r="A20" s="6">
        <v>1868</v>
      </c>
      <c r="B20" s="6">
        <v>56.6628604285974</v>
      </c>
      <c r="C20" s="6">
        <v>56.6628604285974</v>
      </c>
      <c r="G20" s="6">
        <v>56.6628604285974</v>
      </c>
      <c r="L20" s="6">
        <v>56.6628604285974</v>
      </c>
    </row>
    <row r="21" spans="1:12">
      <c r="A21" s="6">
        <v>1869</v>
      </c>
      <c r="B21" s="6">
        <v>56.9921643026728</v>
      </c>
      <c r="C21" s="6">
        <v>56.9921643026728</v>
      </c>
      <c r="G21" s="6">
        <v>56.9921643026728</v>
      </c>
      <c r="L21" s="6">
        <v>56.9921643026728</v>
      </c>
    </row>
    <row r="22" spans="1:12">
      <c r="A22" s="6">
        <v>1870</v>
      </c>
      <c r="B22" s="6">
        <v>57.2273813555838</v>
      </c>
      <c r="C22" s="6">
        <v>57.2273813555838</v>
      </c>
      <c r="G22" s="6">
        <v>57.2273813555838</v>
      </c>
      <c r="L22" s="6">
        <v>57.2273813555838</v>
      </c>
    </row>
    <row r="23" spans="1:12">
      <c r="A23" s="6">
        <v>1871</v>
      </c>
      <c r="B23" s="6">
        <v>57.6507720508236</v>
      </c>
      <c r="C23" s="6">
        <v>57.6507720508236</v>
      </c>
      <c r="G23" s="6">
        <v>57.6507720508236</v>
      </c>
      <c r="L23" s="6">
        <v>57.6507720508236</v>
      </c>
    </row>
    <row r="24" spans="1:12">
      <c r="A24" s="6">
        <v>1872</v>
      </c>
      <c r="B24" s="6">
        <v>58.4505100307211</v>
      </c>
      <c r="C24" s="6">
        <v>58.4505100307211</v>
      </c>
      <c r="G24" s="6">
        <v>58.4505100307211</v>
      </c>
      <c r="L24" s="6">
        <v>58.4505100307211</v>
      </c>
    </row>
    <row r="25" spans="1:12">
      <c r="A25" s="6">
        <v>1873</v>
      </c>
      <c r="B25" s="6">
        <v>58.9679875471253</v>
      </c>
      <c r="C25" s="6">
        <v>58.9679875471253</v>
      </c>
      <c r="G25" s="6">
        <v>58.9679875471253</v>
      </c>
      <c r="L25" s="6">
        <v>58.9679875471253</v>
      </c>
    </row>
    <row r="26" spans="1:12">
      <c r="A26" s="6">
        <v>1874</v>
      </c>
      <c r="B26" s="6">
        <v>58.4975534413033</v>
      </c>
      <c r="C26" s="6">
        <v>58.4975534413033</v>
      </c>
      <c r="G26" s="6">
        <v>58.4975534413033</v>
      </c>
      <c r="L26" s="6">
        <v>58.4975534413033</v>
      </c>
    </row>
    <row r="27" spans="1:12">
      <c r="A27" s="6">
        <v>1875</v>
      </c>
      <c r="B27" s="6">
        <v>59.1561611894541</v>
      </c>
      <c r="C27" s="6">
        <v>59.1561611894541</v>
      </c>
      <c r="G27" s="6">
        <v>59.1561611894541</v>
      </c>
      <c r="L27" s="6">
        <v>59.1561611894541</v>
      </c>
    </row>
    <row r="28" spans="1:12">
      <c r="A28" s="6">
        <v>1876</v>
      </c>
      <c r="B28" s="6">
        <v>59.2972914212007</v>
      </c>
      <c r="C28" s="6">
        <v>59.2972914212007</v>
      </c>
      <c r="G28" s="6">
        <v>59.2972914212007</v>
      </c>
      <c r="L28" s="6">
        <v>59.2972914212007</v>
      </c>
    </row>
    <row r="29" spans="1:12">
      <c r="A29" s="6">
        <v>1877</v>
      </c>
      <c r="B29" s="6">
        <v>59.4384216529474</v>
      </c>
      <c r="C29" s="6">
        <v>59.4384216529474</v>
      </c>
      <c r="G29" s="6">
        <v>59.4384216529474</v>
      </c>
      <c r="L29" s="6">
        <v>59.4384216529474</v>
      </c>
    </row>
    <row r="30" spans="1:12">
      <c r="A30" s="6">
        <v>1878</v>
      </c>
      <c r="B30" s="6">
        <v>59.5325084741118</v>
      </c>
      <c r="C30" s="6">
        <v>59.5325084741118</v>
      </c>
      <c r="G30" s="6">
        <v>59.5325084741118</v>
      </c>
      <c r="L30" s="6">
        <v>59.5325084741118</v>
      </c>
    </row>
    <row r="31" spans="1:12">
      <c r="A31" s="6">
        <v>1879</v>
      </c>
      <c r="B31" s="6">
        <v>60.1911162222626</v>
      </c>
      <c r="C31" s="6">
        <v>60.1911162222626</v>
      </c>
      <c r="G31" s="6">
        <v>60.1911162222626</v>
      </c>
      <c r="L31" s="6">
        <v>60.1911162222626</v>
      </c>
    </row>
    <row r="32" spans="1:12">
      <c r="A32" s="6">
        <v>1880</v>
      </c>
      <c r="B32" s="6">
        <v>61.4142448973999</v>
      </c>
      <c r="C32" s="6">
        <v>61.4142448973999</v>
      </c>
      <c r="G32" s="6">
        <v>61.4142448973999</v>
      </c>
      <c r="L32" s="6">
        <v>61.4142448973999</v>
      </c>
    </row>
    <row r="33" spans="1:12">
      <c r="A33" s="6">
        <v>1881</v>
      </c>
      <c r="B33" s="6">
        <v>61.7435487714753</v>
      </c>
      <c r="C33" s="6">
        <v>61.7435487714753</v>
      </c>
      <c r="G33" s="6">
        <v>61.7435487714753</v>
      </c>
      <c r="L33" s="6">
        <v>61.7435487714753</v>
      </c>
    </row>
    <row r="34" spans="1:12">
      <c r="A34" s="6">
        <v>1882</v>
      </c>
      <c r="B34" s="6">
        <v>62.3551131090439</v>
      </c>
      <c r="C34" s="6">
        <v>62.3551131090439</v>
      </c>
      <c r="G34" s="6">
        <v>62.3551131090439</v>
      </c>
      <c r="L34" s="6">
        <v>62.3551131090439</v>
      </c>
    </row>
    <row r="35" spans="1:12">
      <c r="A35" s="6">
        <v>1883</v>
      </c>
      <c r="B35" s="6">
        <v>63.1078076783592</v>
      </c>
      <c r="C35" s="6">
        <v>63.1078076783592</v>
      </c>
      <c r="G35" s="6">
        <v>63.1078076783592</v>
      </c>
      <c r="L35" s="6">
        <v>63.1078076783592</v>
      </c>
    </row>
    <row r="36" spans="1:12">
      <c r="A36" s="6">
        <v>1884</v>
      </c>
      <c r="B36" s="6">
        <v>63.2489379101058</v>
      </c>
      <c r="C36" s="6">
        <v>63.2489379101058</v>
      </c>
      <c r="G36" s="6">
        <v>63.2489379101058</v>
      </c>
      <c r="L36" s="6">
        <v>63.2489379101058</v>
      </c>
    </row>
    <row r="37" spans="1:12">
      <c r="A37" s="6">
        <v>1885</v>
      </c>
      <c r="B37" s="6">
        <v>63.3430247312702</v>
      </c>
      <c r="C37" s="6">
        <v>63.3430247312702</v>
      </c>
      <c r="G37" s="6">
        <v>63.3430247312702</v>
      </c>
      <c r="L37" s="6">
        <v>63.3430247312702</v>
      </c>
    </row>
    <row r="38" spans="1:12">
      <c r="A38" s="6">
        <v>1886</v>
      </c>
      <c r="B38" s="6">
        <v>63.531198373599</v>
      </c>
      <c r="C38" s="6">
        <v>63.531198373599</v>
      </c>
      <c r="G38" s="6">
        <v>63.531198373599</v>
      </c>
      <c r="L38" s="6">
        <v>63.531198373599</v>
      </c>
    </row>
    <row r="39" spans="1:12">
      <c r="A39" s="6">
        <v>1887</v>
      </c>
      <c r="B39" s="6">
        <v>64.1898061217498</v>
      </c>
      <c r="C39" s="6">
        <v>64.1898061217498</v>
      </c>
      <c r="G39" s="6">
        <v>64.1898061217498</v>
      </c>
      <c r="L39" s="6">
        <v>64.1898061217498</v>
      </c>
    </row>
    <row r="40" spans="1:12">
      <c r="A40" s="6">
        <v>1888</v>
      </c>
      <c r="B40" s="6">
        <v>65.6951952603803</v>
      </c>
      <c r="C40" s="6">
        <v>65.6951952603803</v>
      </c>
      <c r="G40" s="6">
        <v>65.6951952603803</v>
      </c>
      <c r="L40" s="6">
        <v>65.6951952603803</v>
      </c>
    </row>
    <row r="41" spans="1:12">
      <c r="A41" s="6">
        <v>1889</v>
      </c>
      <c r="B41" s="6">
        <v>65.6951952603803</v>
      </c>
      <c r="C41" s="6">
        <v>65.6951952603803</v>
      </c>
      <c r="G41" s="6">
        <v>65.6951952603803</v>
      </c>
      <c r="L41" s="6">
        <v>65.6951952603803</v>
      </c>
    </row>
    <row r="42" spans="1:12">
      <c r="A42" s="6">
        <v>1890</v>
      </c>
      <c r="B42" s="6">
        <v>67.0594541672642</v>
      </c>
      <c r="C42" s="6">
        <v>67.0594541672642</v>
      </c>
      <c r="G42" s="6">
        <v>67.0594541672642</v>
      </c>
      <c r="L42" s="6">
        <v>67.0594541672642</v>
      </c>
    </row>
    <row r="43" spans="1:12">
      <c r="A43" s="6">
        <v>1891</v>
      </c>
      <c r="B43" s="6">
        <v>67.8121487365795</v>
      </c>
      <c r="C43" s="6">
        <v>67.8121487365795</v>
      </c>
      <c r="G43" s="6">
        <v>67.8121487365795</v>
      </c>
      <c r="L43" s="6">
        <v>67.8121487365795</v>
      </c>
    </row>
    <row r="44" spans="1:12">
      <c r="A44" s="6">
        <v>1892</v>
      </c>
      <c r="B44" s="6">
        <v>67.9062355577439</v>
      </c>
      <c r="C44" s="6">
        <v>67.9062355577439</v>
      </c>
      <c r="G44" s="6">
        <v>67.9062355577439</v>
      </c>
      <c r="L44" s="6">
        <v>67.9062355577439</v>
      </c>
    </row>
    <row r="45" spans="1:12">
      <c r="A45" s="6">
        <v>1893</v>
      </c>
      <c r="B45" s="6">
        <v>67.718061915415</v>
      </c>
      <c r="C45" s="6">
        <v>67.718061915415</v>
      </c>
      <c r="G45" s="6">
        <v>67.718061915415</v>
      </c>
      <c r="L45" s="6">
        <v>67.718061915415</v>
      </c>
    </row>
    <row r="46" spans="1:12">
      <c r="A46" s="6">
        <v>1894</v>
      </c>
      <c r="B46" s="6">
        <v>68.3296262529837</v>
      </c>
      <c r="C46" s="6">
        <v>68.3296262529837</v>
      </c>
      <c r="G46" s="6">
        <v>68.3296262529837</v>
      </c>
      <c r="L46" s="6">
        <v>68.3296262529837</v>
      </c>
    </row>
    <row r="47" spans="1:12">
      <c r="A47" s="6">
        <v>1895</v>
      </c>
      <c r="B47" s="6">
        <v>69.4116246963744</v>
      </c>
      <c r="C47" s="6">
        <v>69.4116246963744</v>
      </c>
      <c r="G47" s="6">
        <v>69.4116246963744</v>
      </c>
      <c r="L47" s="6">
        <v>69.4116246963744</v>
      </c>
    </row>
    <row r="48" spans="1:12">
      <c r="A48" s="6">
        <v>1896</v>
      </c>
      <c r="B48" s="6">
        <v>70.023189033943</v>
      </c>
      <c r="C48" s="6">
        <v>70.023189033943</v>
      </c>
      <c r="G48" s="6">
        <v>70.023189033943</v>
      </c>
      <c r="L48" s="6">
        <v>70.023189033943</v>
      </c>
    </row>
    <row r="49" spans="1:12">
      <c r="A49" s="6">
        <v>1897</v>
      </c>
      <c r="B49" s="6">
        <v>71.0111006561692</v>
      </c>
      <c r="C49" s="6">
        <v>71.0111006561692</v>
      </c>
      <c r="G49" s="6">
        <v>71.0111006561692</v>
      </c>
      <c r="L49" s="6">
        <v>71.0111006561692</v>
      </c>
    </row>
    <row r="50" spans="1:12">
      <c r="A50" s="6">
        <v>1898</v>
      </c>
      <c r="B50" s="6">
        <v>72.1871859207243</v>
      </c>
      <c r="C50" s="6">
        <v>72.1871859207243</v>
      </c>
      <c r="G50" s="6">
        <v>72.1871859207243</v>
      </c>
      <c r="L50" s="6">
        <v>72.1871859207243</v>
      </c>
    </row>
    <row r="51" spans="1:12">
      <c r="A51" s="6">
        <v>1899</v>
      </c>
      <c r="B51" s="6">
        <v>74.1630091651768</v>
      </c>
      <c r="C51" s="6">
        <v>74.1630091651768</v>
      </c>
      <c r="G51" s="6">
        <v>74.1630091651768</v>
      </c>
      <c r="L51" s="6">
        <v>74.1630091651768</v>
      </c>
    </row>
    <row r="52" spans="1:12">
      <c r="A52" s="6">
        <v>1900</v>
      </c>
      <c r="B52" s="6">
        <v>75.4331812508963</v>
      </c>
      <c r="C52" s="6">
        <v>75.4331812508963</v>
      </c>
      <c r="G52" s="6">
        <v>75.4331812508963</v>
      </c>
      <c r="L52" s="6">
        <v>75.4331812508963</v>
      </c>
    </row>
    <row r="53" spans="1:12">
      <c r="A53" s="6">
        <v>1901</v>
      </c>
      <c r="B53" s="6">
        <v>76.279962641376</v>
      </c>
      <c r="C53" s="6">
        <v>76.279962641376</v>
      </c>
      <c r="G53" s="6">
        <v>76.279962641376</v>
      </c>
      <c r="L53" s="6">
        <v>76.279962641376</v>
      </c>
    </row>
    <row r="54" spans="1:12">
      <c r="A54" s="6">
        <v>1902</v>
      </c>
      <c r="B54" s="6">
        <v>76.9385703895268</v>
      </c>
      <c r="C54" s="6">
        <v>76.9385703895268</v>
      </c>
      <c r="G54" s="6">
        <v>76.9385703895268</v>
      </c>
      <c r="L54" s="6">
        <v>76.9385703895268</v>
      </c>
    </row>
    <row r="55" spans="1:12">
      <c r="A55" s="6">
        <v>1903</v>
      </c>
      <c r="B55" s="6">
        <v>79.3377843292191</v>
      </c>
      <c r="C55" s="6">
        <v>79.3377843292191</v>
      </c>
      <c r="G55" s="6">
        <v>79.3377843292191</v>
      </c>
      <c r="L55" s="6">
        <v>79.3377843292191</v>
      </c>
    </row>
    <row r="56" spans="1:12">
      <c r="A56" s="6">
        <v>1904</v>
      </c>
      <c r="B56" s="6">
        <v>79.6670882032946</v>
      </c>
      <c r="C56" s="6">
        <v>79.6670882032946</v>
      </c>
      <c r="G56" s="6">
        <v>79.6670882032946</v>
      </c>
      <c r="L56" s="6">
        <v>79.6670882032946</v>
      </c>
    </row>
    <row r="57" spans="1:12">
      <c r="A57" s="6">
        <v>1905</v>
      </c>
      <c r="B57" s="6">
        <v>81.5017812160005</v>
      </c>
      <c r="C57" s="6">
        <v>81.5017812160005</v>
      </c>
      <c r="G57" s="6">
        <v>81.5017812160005</v>
      </c>
      <c r="L57" s="6">
        <v>81.5017812160005</v>
      </c>
    </row>
    <row r="58" spans="1:12">
      <c r="A58" s="6">
        <v>1906</v>
      </c>
      <c r="B58" s="6">
        <v>83.5716912816174</v>
      </c>
      <c r="C58" s="6">
        <v>83.5716912816174</v>
      </c>
      <c r="G58" s="6">
        <v>83.5716912816174</v>
      </c>
      <c r="L58" s="6">
        <v>83.5716912816174</v>
      </c>
    </row>
    <row r="59" spans="1:12">
      <c r="A59" s="6">
        <v>1907</v>
      </c>
      <c r="B59" s="6">
        <v>87.194033896447</v>
      </c>
      <c r="C59" s="6">
        <v>87.194033896447</v>
      </c>
      <c r="G59" s="6">
        <v>87.194033896447</v>
      </c>
      <c r="L59" s="6">
        <v>87.194033896447</v>
      </c>
    </row>
    <row r="60" spans="1:12">
      <c r="A60" s="6">
        <v>1908</v>
      </c>
      <c r="B60" s="6">
        <v>85.5945579366521</v>
      </c>
      <c r="C60" s="6">
        <v>85.5945579366521</v>
      </c>
      <c r="G60" s="6">
        <v>85.5945579366521</v>
      </c>
      <c r="L60" s="6">
        <v>85.5945579366521</v>
      </c>
    </row>
    <row r="61" spans="1:12">
      <c r="A61" s="6">
        <v>1909</v>
      </c>
      <c r="B61" s="6">
        <v>87.2410773070292</v>
      </c>
      <c r="C61" s="6">
        <v>87.2410773070292</v>
      </c>
      <c r="G61" s="6">
        <v>87.2410773070292</v>
      </c>
      <c r="L61" s="6">
        <v>87.2410773070292</v>
      </c>
    </row>
    <row r="62" spans="1:12">
      <c r="A62" s="6">
        <v>1910</v>
      </c>
      <c r="B62" s="6">
        <v>88.8405532668241</v>
      </c>
      <c r="C62" s="6">
        <v>88.8405532668241</v>
      </c>
      <c r="G62" s="6">
        <v>88.8405532668241</v>
      </c>
      <c r="L62" s="6">
        <v>88.8405532668241</v>
      </c>
    </row>
    <row r="63" spans="1:12">
      <c r="A63" s="6">
        <v>1911</v>
      </c>
      <c r="B63" s="6">
        <v>89.6402912467216</v>
      </c>
      <c r="C63" s="6">
        <v>89.6402912467216</v>
      </c>
      <c r="G63" s="6">
        <v>89.6402912467216</v>
      </c>
      <c r="L63" s="6">
        <v>89.6402912467216</v>
      </c>
    </row>
    <row r="64" spans="1:12">
      <c r="A64" s="6">
        <v>1912</v>
      </c>
      <c r="B64" s="6">
        <v>91.6631579017563</v>
      </c>
      <c r="C64" s="6">
        <v>91.6631579017563</v>
      </c>
      <c r="G64" s="6">
        <v>91.6631579017563</v>
      </c>
      <c r="L64" s="6">
        <v>91.6631579017563</v>
      </c>
    </row>
    <row r="65" spans="1:12">
      <c r="A65" s="6">
        <v>1913</v>
      </c>
      <c r="B65" s="6">
        <v>94.6739361790173</v>
      </c>
      <c r="C65" s="6">
        <v>94.6739361790173</v>
      </c>
      <c r="G65" s="6">
        <v>94.6739361790173</v>
      </c>
      <c r="L65" s="6">
        <v>94.6739361790173</v>
      </c>
    </row>
    <row r="66" spans="1:12">
      <c r="A66" s="6">
        <v>1914</v>
      </c>
      <c r="B66" s="6">
        <v>90.2988989948724</v>
      </c>
      <c r="C66" s="6">
        <v>90.2988989948724</v>
      </c>
      <c r="G66" s="6">
        <v>90.2988989948724</v>
      </c>
      <c r="L66" s="6">
        <v>90.2988989948724</v>
      </c>
    </row>
    <row r="67" spans="1:12">
      <c r="A67" s="6">
        <v>1915</v>
      </c>
      <c r="B67" s="6">
        <v>89.734378067886</v>
      </c>
      <c r="C67" s="6">
        <v>89.734378067886</v>
      </c>
      <c r="G67" s="6">
        <v>89.734378067886</v>
      </c>
      <c r="L67" s="6">
        <v>89.734378067886</v>
      </c>
    </row>
    <row r="68" spans="1:12">
      <c r="A68" s="6">
        <v>1916</v>
      </c>
      <c r="B68" s="6">
        <v>92.6981129345648</v>
      </c>
      <c r="C68" s="6">
        <v>92.6981129345648</v>
      </c>
      <c r="G68" s="6">
        <v>92.6981129345648</v>
      </c>
      <c r="L68" s="6">
        <v>92.6981129345648</v>
      </c>
    </row>
    <row r="69" spans="1:12">
      <c r="A69" s="6">
        <v>1917</v>
      </c>
      <c r="B69" s="6">
        <v>95.2384571060037</v>
      </c>
      <c r="C69" s="6">
        <v>95.2384571060037</v>
      </c>
      <c r="G69" s="6">
        <v>95.2384571060037</v>
      </c>
      <c r="L69" s="6">
        <v>95.2384571060037</v>
      </c>
    </row>
    <row r="70" spans="1:12">
      <c r="A70" s="6">
        <v>1918</v>
      </c>
      <c r="B70" s="6">
        <v>94.3446323049419</v>
      </c>
      <c r="C70" s="6">
        <v>94.3446323049419</v>
      </c>
      <c r="G70" s="6">
        <v>94.3446323049419</v>
      </c>
      <c r="L70" s="6">
        <v>94.3446323049419</v>
      </c>
    </row>
    <row r="71" spans="1:12">
      <c r="A71" s="6">
        <v>1919</v>
      </c>
      <c r="B71" s="6">
        <v>88.2289889292555</v>
      </c>
      <c r="C71" s="6">
        <v>88.2289889292555</v>
      </c>
      <c r="G71" s="6">
        <v>88.2289889292555</v>
      </c>
      <c r="L71" s="6">
        <v>88.2289889292555</v>
      </c>
    </row>
    <row r="72" spans="1:12">
      <c r="A72" s="6">
        <v>1920</v>
      </c>
      <c r="B72" s="6">
        <v>94.156458662613</v>
      </c>
      <c r="C72" s="6">
        <v>94.156458662613</v>
      </c>
      <c r="G72" s="6">
        <v>94.156458662613</v>
      </c>
      <c r="L72" s="6">
        <v>94.156458662613</v>
      </c>
    </row>
    <row r="73" spans="1:12">
      <c r="A73" s="6">
        <v>1921</v>
      </c>
      <c r="B73" s="6">
        <v>88.0878586975089</v>
      </c>
      <c r="C73" s="6">
        <v>88.0878586975089</v>
      </c>
      <c r="G73" s="6">
        <v>88.0878586975089</v>
      </c>
      <c r="L73" s="6">
        <v>88.0878586975089</v>
      </c>
    </row>
    <row r="74" spans="1:12">
      <c r="A74" s="6">
        <v>1922</v>
      </c>
      <c r="B74" s="6">
        <v>90.0636819419614</v>
      </c>
      <c r="C74" s="6">
        <v>90.0636819419614</v>
      </c>
      <c r="G74" s="6">
        <v>90.0636819419614</v>
      </c>
      <c r="L74" s="6">
        <v>90.0636819419614</v>
      </c>
    </row>
    <row r="75" spans="1:12">
      <c r="A75" s="6">
        <v>1923</v>
      </c>
      <c r="B75" s="6">
        <v>95.9441082647368</v>
      </c>
      <c r="C75" s="6">
        <v>95.9441082647368</v>
      </c>
      <c r="G75" s="6">
        <v>95.9441082647368</v>
      </c>
      <c r="L75" s="6">
        <v>95.9441082647368</v>
      </c>
    </row>
    <row r="76" spans="1:12">
      <c r="A76" s="6">
        <v>1924</v>
      </c>
      <c r="B76" s="6">
        <v>95.6148043906613</v>
      </c>
      <c r="C76" s="6">
        <v>95.6148043906613</v>
      </c>
      <c r="G76" s="6">
        <v>95.6148043906613</v>
      </c>
      <c r="L76" s="6">
        <v>95.6148043906613</v>
      </c>
    </row>
    <row r="77" spans="1:12">
      <c r="A77" s="6">
        <v>1925</v>
      </c>
      <c r="B77" s="6">
        <v>96.1793253176478</v>
      </c>
      <c r="C77" s="6">
        <v>96.1793253176478</v>
      </c>
      <c r="G77" s="6">
        <v>96.1793253176478</v>
      </c>
      <c r="L77" s="6">
        <v>96.1793253176478</v>
      </c>
    </row>
    <row r="78" spans="1:12">
      <c r="A78" s="6">
        <v>1926</v>
      </c>
      <c r="B78" s="6">
        <v>96.5556726023054</v>
      </c>
      <c r="C78" s="6">
        <v>96.5556726023054</v>
      </c>
      <c r="G78" s="6">
        <v>96.5556726023054</v>
      </c>
      <c r="L78" s="6">
        <v>96.5556726023054</v>
      </c>
    </row>
    <row r="79" spans="1:12">
      <c r="A79" s="6">
        <v>1927</v>
      </c>
      <c r="B79" s="6">
        <v>100.272102038299</v>
      </c>
      <c r="C79" s="6">
        <v>100.272102038299</v>
      </c>
      <c r="G79" s="6">
        <v>100.272102038299</v>
      </c>
      <c r="L79" s="6">
        <v>100.272102038299</v>
      </c>
    </row>
    <row r="80" spans="1:12">
      <c r="A80" s="6">
        <v>1928</v>
      </c>
      <c r="B80" s="6">
        <v>100.413232270046</v>
      </c>
      <c r="C80" s="6">
        <v>100.413232270046</v>
      </c>
      <c r="G80" s="6">
        <v>100.413232270046</v>
      </c>
      <c r="L80" s="6">
        <v>100.413232270046</v>
      </c>
    </row>
    <row r="81" spans="1:12">
      <c r="A81" s="6">
        <v>1929</v>
      </c>
      <c r="B81" s="6">
        <v>104.176705116622</v>
      </c>
      <c r="C81" s="6">
        <v>104.176705116622</v>
      </c>
      <c r="G81" s="6">
        <v>104.176705116622</v>
      </c>
      <c r="L81" s="6">
        <v>104.176705116622</v>
      </c>
    </row>
    <row r="82" spans="1:12">
      <c r="A82" s="6">
        <v>1930</v>
      </c>
      <c r="B82" s="6">
        <v>99.8487113430596</v>
      </c>
      <c r="C82" s="6">
        <v>99.8487113430596</v>
      </c>
      <c r="G82" s="6">
        <v>99.8487113430596</v>
      </c>
      <c r="L82" s="6">
        <v>99.8487113430596</v>
      </c>
    </row>
    <row r="83" spans="1:12">
      <c r="A83" s="6">
        <v>1931</v>
      </c>
      <c r="B83" s="6">
        <v>94.5328059472707</v>
      </c>
      <c r="C83" s="6">
        <v>94.5328059472707</v>
      </c>
      <c r="G83" s="6">
        <v>94.5328059472707</v>
      </c>
      <c r="L83" s="6">
        <v>94.5328059472707</v>
      </c>
    </row>
    <row r="84" spans="1:12">
      <c r="A84" s="6">
        <v>1932</v>
      </c>
      <c r="B84" s="6">
        <v>90.1577687631258</v>
      </c>
      <c r="C84" s="6">
        <v>90.1577687631258</v>
      </c>
      <c r="G84" s="6">
        <v>90.1577687631258</v>
      </c>
      <c r="L84" s="6">
        <v>90.1577687631258</v>
      </c>
    </row>
    <row r="85" spans="1:12">
      <c r="A85" s="6">
        <v>1933</v>
      </c>
      <c r="B85" s="6">
        <v>92.3217656499071</v>
      </c>
      <c r="C85" s="6">
        <v>92.3217656499071</v>
      </c>
      <c r="G85" s="6">
        <v>92.3217656499071</v>
      </c>
      <c r="L85" s="6">
        <v>92.3217656499071</v>
      </c>
    </row>
    <row r="86" spans="1:12">
      <c r="A86" s="6">
        <v>1934</v>
      </c>
      <c r="B86" s="6">
        <v>96.0852384964834</v>
      </c>
      <c r="C86" s="6">
        <v>96.0852384964834</v>
      </c>
      <c r="G86" s="6">
        <v>96.0852384964834</v>
      </c>
      <c r="L86" s="6">
        <v>96.0852384964834</v>
      </c>
    </row>
    <row r="87" spans="1:12">
      <c r="A87" s="6">
        <v>1935</v>
      </c>
      <c r="B87" s="6">
        <v>98.6255826679223</v>
      </c>
      <c r="C87" s="6">
        <v>98.6255826679223</v>
      </c>
      <c r="G87" s="6">
        <v>98.6255826679223</v>
      </c>
      <c r="L87" s="6">
        <v>98.6255826679223</v>
      </c>
    </row>
    <row r="88" spans="1:12">
      <c r="A88" s="6">
        <v>1936</v>
      </c>
      <c r="B88" s="6">
        <v>103.471053957889</v>
      </c>
      <c r="C88" s="6">
        <v>103.471053957889</v>
      </c>
      <c r="G88" s="6">
        <v>103.471053957889</v>
      </c>
      <c r="L88" s="6">
        <v>103.471053957889</v>
      </c>
    </row>
    <row r="89" spans="1:12">
      <c r="A89" s="6">
        <v>1937</v>
      </c>
      <c r="B89" s="6">
        <v>107.187483393883</v>
      </c>
      <c r="C89" s="6">
        <v>107.187483393883</v>
      </c>
      <c r="G89" s="6">
        <v>107.187483393883</v>
      </c>
      <c r="L89" s="6">
        <v>107.187483393883</v>
      </c>
    </row>
    <row r="90" spans="1:12">
      <c r="A90" s="6">
        <v>1938</v>
      </c>
      <c r="B90" s="6">
        <v>104.035574884876</v>
      </c>
      <c r="C90" s="6">
        <v>104.035574884876</v>
      </c>
      <c r="G90" s="6">
        <v>104.035574884876</v>
      </c>
      <c r="L90" s="6">
        <v>104.035574884876</v>
      </c>
    </row>
    <row r="91" spans="1:12">
      <c r="A91" s="6">
        <v>1939</v>
      </c>
      <c r="B91" s="6">
        <v>106.387745413986</v>
      </c>
      <c r="C91" s="6">
        <v>106.387745413986</v>
      </c>
      <c r="G91" s="6">
        <v>106.387745413986</v>
      </c>
      <c r="L91" s="6">
        <v>106.387745413986</v>
      </c>
    </row>
    <row r="92" spans="1:12">
      <c r="A92" s="6">
        <v>1940</v>
      </c>
      <c r="B92" s="6">
        <v>111.421390346281</v>
      </c>
      <c r="C92" s="6">
        <v>111.421390346281</v>
      </c>
      <c r="G92" s="6">
        <v>111.421390346281</v>
      </c>
      <c r="L92" s="6">
        <v>111.421390346281</v>
      </c>
    </row>
    <row r="93" spans="1:12">
      <c r="A93" s="6">
        <v>1941</v>
      </c>
      <c r="B93" s="6">
        <v>113.067909716659</v>
      </c>
      <c r="C93" s="6">
        <v>113.067909716659</v>
      </c>
      <c r="G93" s="6">
        <v>113.067909716659</v>
      </c>
      <c r="L93" s="6">
        <v>113.067909716659</v>
      </c>
    </row>
    <row r="94" spans="1:12">
      <c r="A94" s="6">
        <v>1942</v>
      </c>
      <c r="B94" s="6">
        <v>113.444257001316</v>
      </c>
      <c r="C94" s="6">
        <v>113.444257001316</v>
      </c>
      <c r="G94" s="6">
        <v>113.444257001316</v>
      </c>
      <c r="L94" s="6">
        <v>113.444257001316</v>
      </c>
    </row>
    <row r="95" spans="1:12">
      <c r="A95" s="6">
        <v>1943</v>
      </c>
      <c r="B95" s="6">
        <v>115.749384119844</v>
      </c>
      <c r="C95" s="6">
        <v>115.749384119844</v>
      </c>
      <c r="G95" s="6">
        <v>115.749384119844</v>
      </c>
      <c r="L95" s="6">
        <v>115.749384119844</v>
      </c>
    </row>
    <row r="96" spans="1:12">
      <c r="A96" s="6">
        <v>1944</v>
      </c>
      <c r="B96" s="6">
        <v>115.373036835186</v>
      </c>
      <c r="C96" s="6">
        <v>115.373036835186</v>
      </c>
      <c r="G96" s="6">
        <v>115.373036835186</v>
      </c>
      <c r="L96" s="6">
        <v>115.373036835186</v>
      </c>
    </row>
    <row r="97" spans="1:12">
      <c r="A97" s="6">
        <v>1945</v>
      </c>
      <c r="B97" s="6">
        <v>104.882356275355</v>
      </c>
      <c r="C97" s="6">
        <v>104.882356275355</v>
      </c>
      <c r="G97" s="6">
        <v>104.882356275355</v>
      </c>
      <c r="L97" s="6">
        <v>104.882356275355</v>
      </c>
    </row>
    <row r="98" spans="1:12">
      <c r="A98" s="6">
        <v>1946</v>
      </c>
      <c r="B98" s="6">
        <v>108.551742300767</v>
      </c>
      <c r="C98" s="6">
        <v>108.551742300767</v>
      </c>
      <c r="G98" s="6">
        <v>108.551742300767</v>
      </c>
      <c r="L98" s="6">
        <v>108.551742300767</v>
      </c>
    </row>
    <row r="99" spans="1:12">
      <c r="A99" s="6">
        <v>1947</v>
      </c>
      <c r="B99" s="6">
        <v>115.796427530426</v>
      </c>
      <c r="C99" s="6">
        <v>115.796427530426</v>
      </c>
      <c r="G99" s="6">
        <v>115.796427530426</v>
      </c>
      <c r="L99" s="6">
        <v>115.796427530426</v>
      </c>
    </row>
    <row r="100" spans="1:12">
      <c r="A100" s="6">
        <v>1948</v>
      </c>
      <c r="B100" s="6">
        <v>119.418770145256</v>
      </c>
      <c r="C100" s="6">
        <v>119.418770145256</v>
      </c>
      <c r="G100" s="6">
        <v>119.418770145256</v>
      </c>
      <c r="L100" s="6">
        <v>119.418770145256</v>
      </c>
    </row>
    <row r="101" spans="1:12">
      <c r="A101" s="6">
        <v>1949</v>
      </c>
      <c r="B101" s="6">
        <v>117.066599616146</v>
      </c>
      <c r="C101" s="6">
        <v>117.066599616146</v>
      </c>
      <c r="G101" s="6">
        <v>117.066599616146</v>
      </c>
      <c r="L101" s="6">
        <v>117.066599616146</v>
      </c>
    </row>
    <row r="102" spans="1:12">
      <c r="A102" s="6">
        <v>1950</v>
      </c>
      <c r="B102" s="6">
        <v>126.992759248991</v>
      </c>
      <c r="C102" s="6">
        <v>126.992759248991</v>
      </c>
      <c r="G102" s="6">
        <v>126.992759248991</v>
      </c>
      <c r="L102" s="6">
        <v>126.992759248991</v>
      </c>
    </row>
    <row r="103" spans="1:12">
      <c r="A103" s="6">
        <v>1951</v>
      </c>
      <c r="B103" s="6">
        <v>133.437706498752</v>
      </c>
      <c r="C103" s="6">
        <v>133.437706498752</v>
      </c>
      <c r="G103" s="6">
        <v>133.437706498752</v>
      </c>
      <c r="L103" s="6">
        <v>133.437706498752</v>
      </c>
    </row>
    <row r="104" spans="1:12">
      <c r="A104" s="6">
        <v>1952</v>
      </c>
      <c r="B104" s="6">
        <v>135.919140745054</v>
      </c>
      <c r="C104" s="6">
        <v>135.919140745054</v>
      </c>
      <c r="G104" s="6">
        <v>135.919140745054</v>
      </c>
      <c r="L104" s="6">
        <v>135.919140745054</v>
      </c>
    </row>
    <row r="105" spans="1:12">
      <c r="A105" s="6">
        <v>1953</v>
      </c>
      <c r="B105" s="6">
        <v>139.247356381835</v>
      </c>
      <c r="C105" s="6">
        <v>139.247356381835</v>
      </c>
      <c r="G105" s="6">
        <v>139.247356381835</v>
      </c>
      <c r="L105" s="6">
        <v>139.247356381835</v>
      </c>
    </row>
    <row r="106" spans="1:12">
      <c r="A106" s="6">
        <v>1954</v>
      </c>
      <c r="B106" s="6">
        <v>141.540616985808</v>
      </c>
      <c r="C106" s="6">
        <v>141.540616985808</v>
      </c>
      <c r="G106" s="6">
        <v>141.540616985808</v>
      </c>
      <c r="L106" s="6">
        <v>141.540616985808</v>
      </c>
    </row>
    <row r="107" spans="1:12">
      <c r="A107" s="6">
        <v>1955</v>
      </c>
      <c r="B107" s="6">
        <v>151.031519408858</v>
      </c>
      <c r="C107" s="6">
        <v>151.031519408858</v>
      </c>
      <c r="G107" s="6">
        <v>151.031519408858</v>
      </c>
      <c r="L107" s="6">
        <v>151.031519408858</v>
      </c>
    </row>
    <row r="108" spans="1:12">
      <c r="A108" s="6">
        <v>1956</v>
      </c>
      <c r="B108" s="6">
        <v>158.546598587455</v>
      </c>
      <c r="C108" s="6">
        <v>158.546598587455</v>
      </c>
      <c r="G108" s="6">
        <v>158.546598587455</v>
      </c>
      <c r="L108" s="6">
        <v>158.546598587455</v>
      </c>
    </row>
    <row r="109" spans="1:12">
      <c r="A109" s="6">
        <v>1957</v>
      </c>
      <c r="B109" s="6">
        <v>164.0858545216</v>
      </c>
      <c r="C109" s="6">
        <v>164.0858545216</v>
      </c>
      <c r="G109" s="6">
        <v>164.0858545216</v>
      </c>
      <c r="L109" s="6">
        <v>164.0858545216</v>
      </c>
    </row>
    <row r="110" spans="1:12">
      <c r="A110" s="6">
        <v>1958</v>
      </c>
      <c r="B110" s="6">
        <v>168.072677906533</v>
      </c>
      <c r="C110" s="6">
        <v>168.072677906533</v>
      </c>
      <c r="G110" s="6">
        <v>168.072677906533</v>
      </c>
      <c r="L110" s="6">
        <v>168.072677906533</v>
      </c>
    </row>
    <row r="111" spans="1:12">
      <c r="A111" s="6">
        <v>1959</v>
      </c>
      <c r="B111" s="6">
        <v>175.041012083615</v>
      </c>
      <c r="C111" s="6">
        <v>175.041012083615</v>
      </c>
      <c r="G111" s="6">
        <v>175.041012083615</v>
      </c>
      <c r="L111" s="6">
        <v>175.041012083615</v>
      </c>
    </row>
    <row r="112" spans="1:12">
      <c r="A112" s="6">
        <v>1960</v>
      </c>
      <c r="B112" s="6">
        <v>181.615136585783</v>
      </c>
      <c r="C112" s="6">
        <v>181.615136585783</v>
      </c>
      <c r="G112" s="6">
        <v>181.615136585783</v>
      </c>
      <c r="L112" s="6">
        <v>181.615136585783</v>
      </c>
    </row>
    <row r="113" spans="1:12">
      <c r="A113" s="6">
        <v>1961</v>
      </c>
      <c r="B113" s="6">
        <v>183.313189970632</v>
      </c>
      <c r="C113" s="6">
        <v>183.313189970632</v>
      </c>
      <c r="G113" s="6">
        <v>183.313189970632</v>
      </c>
      <c r="L113" s="6">
        <v>183.313189970632</v>
      </c>
    </row>
    <row r="114" spans="1:12">
      <c r="A114" s="6">
        <v>1962</v>
      </c>
      <c r="B114" s="6">
        <v>189.434612188902</v>
      </c>
      <c r="C114" s="6">
        <v>189.434612188902</v>
      </c>
      <c r="G114" s="6">
        <v>189.434612188902</v>
      </c>
      <c r="L114" s="6">
        <v>189.434612188902</v>
      </c>
    </row>
    <row r="115" spans="1:12">
      <c r="A115" s="6">
        <v>1963</v>
      </c>
      <c r="B115" s="6">
        <v>197.543202337147</v>
      </c>
      <c r="C115" s="6">
        <v>197.543202337147</v>
      </c>
      <c r="G115" s="6">
        <v>197.543202337147</v>
      </c>
      <c r="L115" s="6">
        <v>197.543202337147</v>
      </c>
    </row>
    <row r="116" spans="1:12">
      <c r="A116" s="6">
        <v>1964</v>
      </c>
      <c r="B116" s="6">
        <v>206.285944846246</v>
      </c>
      <c r="C116" s="6">
        <v>206.285944846246</v>
      </c>
      <c r="G116" s="6">
        <v>206.285944846246</v>
      </c>
      <c r="L116" s="6">
        <v>206.285944846246</v>
      </c>
    </row>
    <row r="117" spans="1:12">
      <c r="A117" s="6">
        <v>1965</v>
      </c>
      <c r="B117" s="6">
        <v>213.829079063076</v>
      </c>
      <c r="C117" s="6">
        <v>213.829079063076</v>
      </c>
      <c r="G117" s="6">
        <v>213.829079063076</v>
      </c>
      <c r="L117" s="6">
        <v>213.829079063076</v>
      </c>
    </row>
    <row r="118" spans="1:12">
      <c r="A118" s="6">
        <v>1966</v>
      </c>
      <c r="B118" s="6">
        <v>222.432494780847</v>
      </c>
      <c r="C118" s="6">
        <v>222.432494780847</v>
      </c>
      <c r="G118" s="6">
        <v>222.432494780847</v>
      </c>
      <c r="L118" s="6">
        <v>222.432494780847</v>
      </c>
    </row>
    <row r="119" spans="1:12">
      <c r="A119" s="6">
        <v>1967</v>
      </c>
      <c r="B119" s="6">
        <v>228.545689414164</v>
      </c>
      <c r="C119" s="6">
        <v>228.545689414164</v>
      </c>
      <c r="G119" s="6">
        <v>228.545689414164</v>
      </c>
      <c r="L119" s="6">
        <v>228.545689414164</v>
      </c>
    </row>
    <row r="120" spans="1:12">
      <c r="A120" s="6">
        <v>1968</v>
      </c>
      <c r="B120" s="6">
        <v>237.830035649477</v>
      </c>
      <c r="C120" s="6">
        <v>237.830035649477</v>
      </c>
      <c r="G120" s="6">
        <v>237.830035649477</v>
      </c>
      <c r="L120" s="6">
        <v>237.830035649477</v>
      </c>
    </row>
    <row r="121" spans="1:12">
      <c r="A121" s="6">
        <v>1969</v>
      </c>
      <c r="B121" s="6">
        <v>249.047185919451</v>
      </c>
      <c r="C121" s="6">
        <v>249.047185919451</v>
      </c>
      <c r="G121" s="6">
        <v>249.047185919451</v>
      </c>
      <c r="L121" s="6">
        <v>249.047185919451</v>
      </c>
    </row>
    <row r="122" spans="1:12">
      <c r="A122" s="6">
        <v>1970</v>
      </c>
      <c r="B122" s="6">
        <v>263.042901245845</v>
      </c>
      <c r="C122" s="6">
        <v>263.042901245845</v>
      </c>
      <c r="G122" s="6">
        <v>263.042901245845</v>
      </c>
      <c r="L122" s="6">
        <v>263.042901245845</v>
      </c>
    </row>
    <row r="123" spans="1:12">
      <c r="A123" s="6">
        <v>1971</v>
      </c>
      <c r="B123" s="6">
        <v>281.670742554199</v>
      </c>
      <c r="C123" s="6">
        <v>281.670742554199</v>
      </c>
      <c r="G123" s="6">
        <v>281.670742554199</v>
      </c>
      <c r="L123" s="6">
        <v>281.670742554199</v>
      </c>
    </row>
    <row r="124" spans="1:12">
      <c r="A124" s="6">
        <v>1972</v>
      </c>
      <c r="B124" s="6">
        <v>285.927650686778</v>
      </c>
      <c r="C124" s="6">
        <v>285.927650686778</v>
      </c>
      <c r="G124" s="6">
        <v>285.927650686778</v>
      </c>
      <c r="L124" s="6">
        <v>285.927650686778</v>
      </c>
    </row>
    <row r="125" spans="1:12">
      <c r="A125" s="6">
        <v>1973</v>
      </c>
      <c r="B125" s="6">
        <v>290.248893747028</v>
      </c>
      <c r="C125" s="6">
        <v>290.248893747028</v>
      </c>
      <c r="G125" s="6">
        <v>290.248893747028</v>
      </c>
      <c r="L125" s="6">
        <v>290.248893747028</v>
      </c>
    </row>
    <row r="126" spans="1:12">
      <c r="A126" s="6">
        <v>1974</v>
      </c>
      <c r="B126" s="6">
        <v>294.635444032868</v>
      </c>
      <c r="C126" s="6">
        <v>294.635444032868</v>
      </c>
      <c r="G126" s="6">
        <v>294.635444032868</v>
      </c>
      <c r="L126" s="6">
        <v>294.635444032868</v>
      </c>
    </row>
    <row r="127" spans="1:12">
      <c r="A127" s="6">
        <v>1975</v>
      </c>
      <c r="B127" s="6">
        <v>299.088288536618</v>
      </c>
      <c r="C127" s="6">
        <v>299.088288536618</v>
      </c>
      <c r="G127" s="6">
        <v>299.088288536618</v>
      </c>
      <c r="L127" s="6">
        <v>299.088288536618</v>
      </c>
    </row>
    <row r="128" spans="1:12">
      <c r="A128" s="6">
        <v>1976</v>
      </c>
      <c r="B128" s="6">
        <v>303.608429167077</v>
      </c>
      <c r="C128" s="6">
        <v>303.608429167077</v>
      </c>
      <c r="G128" s="6">
        <v>303.608429167077</v>
      </c>
      <c r="L128" s="6">
        <v>303.608429167077</v>
      </c>
    </row>
    <row r="129" spans="1:12">
      <c r="A129" s="6">
        <v>1977</v>
      </c>
      <c r="B129" s="6">
        <v>308.196882974955</v>
      </c>
      <c r="C129" s="6">
        <v>308.196882974955</v>
      </c>
      <c r="G129" s="6">
        <v>308.196882974955</v>
      </c>
      <c r="L129" s="6">
        <v>308.196882974955</v>
      </c>
    </row>
    <row r="130" spans="1:12">
      <c r="A130" s="6">
        <v>1978</v>
      </c>
      <c r="B130" s="6">
        <v>312.854682381719</v>
      </c>
      <c r="C130" s="6">
        <v>312.854682381719</v>
      </c>
      <c r="G130" s="6">
        <v>312.854682381719</v>
      </c>
      <c r="L130" s="6">
        <v>312.854682381719</v>
      </c>
    </row>
    <row r="131" spans="1:12">
      <c r="A131" s="6">
        <v>1979</v>
      </c>
      <c r="B131" s="6">
        <v>317.582875411884</v>
      </c>
      <c r="C131" s="6">
        <v>317.582875411884</v>
      </c>
      <c r="G131" s="6">
        <v>317.582875411884</v>
      </c>
      <c r="L131" s="6">
        <v>317.582875411884</v>
      </c>
    </row>
    <row r="132" spans="1:12">
      <c r="A132" s="6">
        <v>1980</v>
      </c>
      <c r="B132" s="6">
        <v>322.38252592883</v>
      </c>
      <c r="C132" s="6">
        <v>322.38252592883</v>
      </c>
      <c r="G132" s="6">
        <v>322.38252592883</v>
      </c>
      <c r="L132" s="6">
        <v>322.38252592883</v>
      </c>
    </row>
    <row r="133" spans="1:12">
      <c r="A133" s="6">
        <v>1981</v>
      </c>
      <c r="B133" s="6">
        <v>327.254713874171</v>
      </c>
      <c r="C133" s="6">
        <v>327.254713874171</v>
      </c>
      <c r="G133" s="6">
        <v>327.254713874171</v>
      </c>
      <c r="L133" s="6">
        <v>327.254713874171</v>
      </c>
    </row>
    <row r="134" spans="1:12">
      <c r="A134" s="6">
        <v>1982</v>
      </c>
      <c r="B134" s="6">
        <v>332.20053551075</v>
      </c>
      <c r="C134" s="6">
        <v>332.20053551075</v>
      </c>
      <c r="G134" s="6">
        <v>332.20053551075</v>
      </c>
      <c r="L134" s="6">
        <v>332.20053551075</v>
      </c>
    </row>
    <row r="135" spans="1:12">
      <c r="A135" s="6">
        <v>1983</v>
      </c>
      <c r="B135" s="6">
        <v>337.2211036693</v>
      </c>
      <c r="C135" s="6">
        <v>337.2211036693</v>
      </c>
      <c r="G135" s="6">
        <v>337.2211036693</v>
      </c>
      <c r="L135" s="6">
        <v>337.2211036693</v>
      </c>
    </row>
    <row r="136" spans="1:12">
      <c r="A136" s="6">
        <v>1984</v>
      </c>
      <c r="B136" s="6">
        <v>342.317547998839</v>
      </c>
      <c r="C136" s="6">
        <v>342.317547998839</v>
      </c>
      <c r="G136" s="6">
        <v>342.317547998839</v>
      </c>
      <c r="L136" s="6">
        <v>342.317547998839</v>
      </c>
    </row>
    <row r="137" spans="1:12">
      <c r="A137" s="6">
        <v>1985</v>
      </c>
      <c r="B137" s="6">
        <v>347.49101522084</v>
      </c>
      <c r="C137" s="6">
        <v>347.49101522084</v>
      </c>
      <c r="G137" s="6">
        <v>347.49101522084</v>
      </c>
      <c r="L137" s="6">
        <v>347.49101522084</v>
      </c>
    </row>
    <row r="138" spans="1:12">
      <c r="A138" s="6">
        <v>1986</v>
      </c>
      <c r="B138" s="6">
        <v>352.742669387254</v>
      </c>
      <c r="C138" s="6">
        <v>352.742669387254</v>
      </c>
      <c r="G138" s="6">
        <v>352.742669387254</v>
      </c>
      <c r="L138" s="6">
        <v>352.742669387254</v>
      </c>
    </row>
    <row r="139" spans="1:12">
      <c r="A139" s="6">
        <v>1987</v>
      </c>
      <c r="B139" s="6">
        <v>358.073692142425</v>
      </c>
      <c r="C139" s="6">
        <v>358.073692142425</v>
      </c>
      <c r="G139" s="6">
        <v>358.073692142425</v>
      </c>
      <c r="L139" s="6">
        <v>358.073692142425</v>
      </c>
    </row>
    <row r="140" spans="1:12">
      <c r="A140" s="6">
        <v>1988</v>
      </c>
      <c r="B140" s="6">
        <v>363.485282988962</v>
      </c>
      <c r="C140" s="6">
        <v>363.485282988962</v>
      </c>
      <c r="G140" s="6">
        <v>363.485282988962</v>
      </c>
      <c r="L140" s="6">
        <v>363.485282988962</v>
      </c>
    </row>
    <row r="141" spans="1:12">
      <c r="A141" s="6">
        <v>1989</v>
      </c>
      <c r="B141" s="6">
        <v>368.978659557637</v>
      </c>
      <c r="C141" s="6">
        <v>368.978659557637</v>
      </c>
      <c r="G141" s="6">
        <v>368.978659557637</v>
      </c>
      <c r="L141" s="6">
        <v>368.978659557637</v>
      </c>
    </row>
    <row r="142" spans="1:12">
      <c r="A142" s="6">
        <v>1990</v>
      </c>
      <c r="B142" s="6">
        <v>374.555057881353</v>
      </c>
      <c r="C142" s="6">
        <v>374.555057881353</v>
      </c>
      <c r="G142" s="6">
        <v>374.555057881353</v>
      </c>
      <c r="L142" s="6">
        <v>374.555057881353</v>
      </c>
    </row>
    <row r="143" spans="1:12">
      <c r="A143" s="6">
        <v>1991</v>
      </c>
      <c r="B143" s="6">
        <v>380.215732673259</v>
      </c>
      <c r="C143" s="6">
        <v>380.215732673259</v>
      </c>
      <c r="G143" s="6">
        <v>380.215732673259</v>
      </c>
      <c r="L143" s="6">
        <v>380.215732673259</v>
      </c>
    </row>
    <row r="144" spans="1:12">
      <c r="A144" s="6">
        <v>1992</v>
      </c>
      <c r="B144" s="6">
        <v>385.961957609062</v>
      </c>
      <c r="C144" s="6">
        <v>385.961957609062</v>
      </c>
      <c r="G144" s="6">
        <v>385.961957609062</v>
      </c>
      <c r="L144" s="6">
        <v>385.961957609062</v>
      </c>
    </row>
    <row r="145" spans="1:12">
      <c r="A145" s="6">
        <v>1993</v>
      </c>
      <c r="B145" s="6">
        <v>391.795025613617</v>
      </c>
      <c r="C145" s="6">
        <v>391.795025613617</v>
      </c>
      <c r="G145" s="6">
        <v>391.795025613617</v>
      </c>
      <c r="L145" s="6">
        <v>391.795025613617</v>
      </c>
    </row>
    <row r="146" spans="1:12">
      <c r="A146" s="6">
        <v>1994</v>
      </c>
      <c r="B146" s="6">
        <v>397.716249151833</v>
      </c>
      <c r="C146" s="6">
        <v>397.716249151833</v>
      </c>
      <c r="G146" s="6">
        <v>397.716249151833</v>
      </c>
      <c r="L146" s="6">
        <v>397.716249151833</v>
      </c>
    </row>
    <row r="147" spans="1:12">
      <c r="A147" s="6">
        <v>1995</v>
      </c>
      <c r="B147" s="6">
        <v>403.726960523987</v>
      </c>
      <c r="C147" s="6">
        <v>403.726960523987</v>
      </c>
      <c r="G147" s="6">
        <v>403.726960523987</v>
      </c>
      <c r="L147" s="6">
        <v>403.726960523987</v>
      </c>
    </row>
    <row r="148" spans="1:12">
      <c r="A148" s="6">
        <v>1996</v>
      </c>
      <c r="B148" s="6">
        <v>409.828512165493</v>
      </c>
      <c r="C148" s="6">
        <v>409.828512165493</v>
      </c>
      <c r="G148" s="6">
        <v>409.828512165493</v>
      </c>
      <c r="L148" s="6">
        <v>409.828512165493</v>
      </c>
    </row>
    <row r="149" spans="1:12">
      <c r="A149" s="6">
        <v>1997</v>
      </c>
      <c r="B149" s="6">
        <v>416.022276951214</v>
      </c>
      <c r="C149" s="6">
        <v>416.022276951214</v>
      </c>
      <c r="G149" s="6">
        <v>416.022276951214</v>
      </c>
      <c r="L149" s="6">
        <v>416.022276951214</v>
      </c>
    </row>
    <row r="150" spans="1:12">
      <c r="A150" s="6">
        <v>1998</v>
      </c>
      <c r="B150" s="6">
        <v>422.309648504357</v>
      </c>
      <c r="C150" s="6">
        <v>422.309648504357</v>
      </c>
      <c r="G150" s="6">
        <v>422.309648504357</v>
      </c>
      <c r="L150" s="6">
        <v>422.309648504357</v>
      </c>
    </row>
    <row r="151" spans="1:12">
      <c r="A151" s="6">
        <v>1999</v>
      </c>
      <c r="B151" s="6">
        <v>428.692041510044</v>
      </c>
      <c r="C151" s="6">
        <v>428.692041510044</v>
      </c>
      <c r="G151" s="6">
        <v>428.692041510044</v>
      </c>
      <c r="L151" s="6">
        <v>428.692041510044</v>
      </c>
    </row>
    <row r="152" spans="1:12">
      <c r="A152" s="6">
        <v>2000</v>
      </c>
      <c r="B152" s="6">
        <v>435.17089203363</v>
      </c>
      <c r="C152" s="6">
        <v>435.17089203363</v>
      </c>
      <c r="G152" s="6">
        <v>435.17089203363</v>
      </c>
      <c r="L152" s="6">
        <v>435.17089203363</v>
      </c>
    </row>
    <row r="153" spans="1:12">
      <c r="A153" s="6">
        <v>2001</v>
      </c>
      <c r="B153" s="6">
        <v>441.747657843815</v>
      </c>
      <c r="C153" s="6">
        <v>441.747657843815</v>
      </c>
      <c r="G153" s="6">
        <v>441.747657843815</v>
      </c>
      <c r="L153" s="6">
        <v>441.747657843815</v>
      </c>
    </row>
    <row r="154" spans="1:12">
      <c r="A154" s="6">
        <v>2002</v>
      </c>
      <c r="B154" s="6">
        <v>448.423818740651</v>
      </c>
      <c r="C154" s="6">
        <v>448.423818740651</v>
      </c>
      <c r="G154" s="6">
        <v>448.423818740651</v>
      </c>
      <c r="L154" s="6">
        <v>448.423818740651</v>
      </c>
    </row>
    <row r="155" spans="1:12">
      <c r="A155" s="6">
        <v>2003</v>
      </c>
      <c r="B155" s="6">
        <v>455.200876888505</v>
      </c>
      <c r="C155" s="6">
        <v>455.200876888505</v>
      </c>
      <c r="G155" s="6">
        <v>455.200876888505</v>
      </c>
      <c r="L155" s="6">
        <v>455.200876888505</v>
      </c>
    </row>
    <row r="156" spans="1:12">
      <c r="A156" s="6">
        <v>2004</v>
      </c>
      <c r="B156" s="6">
        <v>462.080357154053</v>
      </c>
      <c r="C156" s="6">
        <v>462.080357154053</v>
      </c>
      <c r="G156" s="6">
        <v>462.080357154053</v>
      </c>
      <c r="L156" s="6">
        <v>462.080357154053</v>
      </c>
    </row>
    <row r="157" spans="1:12">
      <c r="A157" s="6">
        <v>2005</v>
      </c>
      <c r="B157" s="6">
        <v>466.512758672021</v>
      </c>
      <c r="C157" s="6">
        <v>466.512758672021</v>
      </c>
      <c r="G157" s="6">
        <v>466.512758672021</v>
      </c>
      <c r="L157" s="6">
        <v>466.512758672021</v>
      </c>
    </row>
    <row r="158" spans="1:12">
      <c r="A158" s="6">
        <v>2006</v>
      </c>
      <c r="B158" s="6">
        <v>477.207408846149</v>
      </c>
      <c r="C158" s="6">
        <v>477.207408846149</v>
      </c>
      <c r="G158" s="6">
        <v>477.207408846149</v>
      </c>
      <c r="L158" s="6">
        <v>477.207408846149</v>
      </c>
    </row>
    <row r="159" spans="1:12">
      <c r="A159" s="6">
        <v>2007</v>
      </c>
      <c r="B159" s="6">
        <v>487.480209246108</v>
      </c>
      <c r="C159" s="6">
        <v>487.480209246108</v>
      </c>
      <c r="G159" s="6">
        <v>487.480209246108</v>
      </c>
      <c r="L159" s="6">
        <v>487.480209246108</v>
      </c>
    </row>
    <row r="160" spans="1:12">
      <c r="A160" s="6">
        <v>2008</v>
      </c>
      <c r="B160" s="6">
        <v>497.341350406078</v>
      </c>
      <c r="C160" s="6">
        <v>497.341350406078</v>
      </c>
      <c r="G160" s="6">
        <v>497.341350406078</v>
      </c>
      <c r="L160" s="6">
        <v>497.341350406078</v>
      </c>
    </row>
    <row r="161" spans="1:12">
      <c r="A161" s="6">
        <v>2009</v>
      </c>
      <c r="B161" s="6">
        <v>506.800812930499</v>
      </c>
      <c r="C161" s="6">
        <v>506.800812930499</v>
      </c>
      <c r="G161" s="6">
        <v>506.800812930499</v>
      </c>
      <c r="L161" s="6">
        <v>506.800812930499</v>
      </c>
    </row>
    <row r="162" spans="1:12">
      <c r="A162" s="6">
        <v>2010</v>
      </c>
      <c r="B162" s="6">
        <v>515.868371486182</v>
      </c>
      <c r="C162" s="6">
        <v>515.868371486182</v>
      </c>
      <c r="G162" s="6">
        <v>515.868371486182</v>
      </c>
      <c r="L162" s="6">
        <v>515.868371486182</v>
      </c>
    </row>
    <row r="163" spans="1:12">
      <c r="A163" s="6">
        <v>2011</v>
      </c>
      <c r="B163" s="6">
        <v>534.007386374345</v>
      </c>
      <c r="C163" s="6">
        <v>534.007386374345</v>
      </c>
      <c r="G163" s="6">
        <v>534.007386374345</v>
      </c>
      <c r="L163" s="6">
        <v>534.007386374345</v>
      </c>
    </row>
    <row r="164" spans="1:12">
      <c r="A164" s="6">
        <v>2012</v>
      </c>
      <c r="B164" s="6">
        <v>551.491947299479</v>
      </c>
      <c r="C164" s="6">
        <v>551.491947299479</v>
      </c>
      <c r="G164" s="6">
        <v>551.491947299479</v>
      </c>
      <c r="L164" s="6">
        <v>551.491947299479</v>
      </c>
    </row>
    <row r="165" spans="1:12">
      <c r="A165" s="6">
        <v>2013</v>
      </c>
      <c r="B165" s="6">
        <v>568.337520770423</v>
      </c>
      <c r="C165" s="6">
        <v>568.337520770423</v>
      </c>
      <c r="G165" s="6">
        <v>568.337520770423</v>
      </c>
      <c r="L165" s="6">
        <v>568.337520770423</v>
      </c>
    </row>
    <row r="166" spans="1:12">
      <c r="A166" s="6">
        <v>2014</v>
      </c>
      <c r="B166" s="6">
        <v>584.559257825946</v>
      </c>
      <c r="C166" s="6">
        <v>584.559257825946</v>
      </c>
      <c r="G166" s="6">
        <v>584.559257825946</v>
      </c>
      <c r="L166" s="6">
        <v>584.559257825946</v>
      </c>
    </row>
    <row r="167" spans="1:12">
      <c r="A167" s="6">
        <v>2015</v>
      </c>
      <c r="B167" s="6">
        <v>600.172</v>
      </c>
      <c r="C167" s="6">
        <v>603.087760931729</v>
      </c>
      <c r="G167" s="6">
        <v>603.087760931729</v>
      </c>
      <c r="L167" s="6">
        <v>603.087760931729</v>
      </c>
    </row>
    <row r="168" spans="1:12">
      <c r="A168" s="6">
        <v>2016</v>
      </c>
      <c r="B168" s="6">
        <v>609.069039565848</v>
      </c>
      <c r="C168" s="6">
        <v>608.282113123267</v>
      </c>
      <c r="G168" s="6">
        <v>608.282113123267</v>
      </c>
      <c r="L168" s="6">
        <v>608.282113123267</v>
      </c>
    </row>
    <row r="169" spans="1:12">
      <c r="A169" s="6">
        <v>2017</v>
      </c>
      <c r="B169" s="6">
        <v>617.160876634853</v>
      </c>
      <c r="C169" s="6">
        <v>613.478105046222</v>
      </c>
      <c r="G169" s="6">
        <v>613.478105046222</v>
      </c>
      <c r="L169" s="6">
        <v>613.478105046222</v>
      </c>
    </row>
    <row r="170" spans="1:12">
      <c r="A170" s="6">
        <v>2018</v>
      </c>
      <c r="B170" s="6">
        <v>624.481848608711</v>
      </c>
      <c r="C170" s="6">
        <v>616.74633870264</v>
      </c>
      <c r="G170" s="6">
        <v>617.46068640304</v>
      </c>
      <c r="L170" s="6">
        <v>617.399451745173</v>
      </c>
    </row>
    <row r="171" spans="1:12">
      <c r="A171" s="6">
        <v>2019</v>
      </c>
      <c r="B171" s="6">
        <v>631.065088153978</v>
      </c>
      <c r="C171" s="6">
        <v>619.942605065637</v>
      </c>
      <c r="G171" s="6">
        <v>620.06722168139</v>
      </c>
      <c r="L171" s="6">
        <v>619.991309032843</v>
      </c>
    </row>
    <row r="172" spans="1:12">
      <c r="A172" s="6">
        <v>2020</v>
      </c>
      <c r="B172" s="6">
        <v>636.942561760009</v>
      </c>
      <c r="C172" s="6">
        <v>622.272707564947</v>
      </c>
      <c r="G172" s="6">
        <v>622.724726220765</v>
      </c>
      <c r="L172" s="6">
        <v>622.298809537643</v>
      </c>
    </row>
    <row r="173" spans="1:12">
      <c r="A173" s="6">
        <v>2021</v>
      </c>
      <c r="B173" s="6">
        <v>660.171965583591</v>
      </c>
      <c r="C173" s="6">
        <v>641.296814330282</v>
      </c>
      <c r="G173" s="6">
        <v>641.025021233783</v>
      </c>
      <c r="L173" s="6">
        <v>641.0641146549</v>
      </c>
    </row>
    <row r="174" spans="1:12">
      <c r="A174" s="6">
        <v>2022</v>
      </c>
      <c r="B174" s="6">
        <v>681.866016890824</v>
      </c>
      <c r="C174" s="6">
        <v>657.82361241711</v>
      </c>
      <c r="G174" s="6">
        <v>658.154728286561</v>
      </c>
      <c r="L174" s="6">
        <v>657.654301446338</v>
      </c>
    </row>
    <row r="175" spans="1:12">
      <c r="A175" s="6">
        <v>2023</v>
      </c>
      <c r="B175" s="6">
        <v>702.086371004214</v>
      </c>
      <c r="C175" s="6">
        <v>672.443263257573</v>
      </c>
      <c r="G175" s="6">
        <v>673.300168292638</v>
      </c>
      <c r="L175" s="6">
        <v>671.87019179779</v>
      </c>
    </row>
    <row r="176" spans="1:12">
      <c r="A176" s="6">
        <v>2024</v>
      </c>
      <c r="B176" s="6">
        <v>720.89257464717</v>
      </c>
      <c r="C176" s="6">
        <v>685.225237050332</v>
      </c>
      <c r="G176" s="6">
        <v>686.238531551503</v>
      </c>
      <c r="L176" s="6">
        <v>685.334818726378</v>
      </c>
    </row>
    <row r="177" spans="1:12">
      <c r="A177" s="6">
        <v>2025</v>
      </c>
      <c r="B177" s="6">
        <v>738.342132481885</v>
      </c>
      <c r="C177" s="6">
        <v>696.889194926988</v>
      </c>
      <c r="G177" s="6">
        <v>697.271138269797</v>
      </c>
      <c r="L177" s="6">
        <v>696.747590198362</v>
      </c>
    </row>
    <row r="178" spans="1:12">
      <c r="A178" s="6">
        <v>2026</v>
      </c>
      <c r="B178" s="6">
        <v>754.490571646973</v>
      </c>
      <c r="C178" s="6">
        <v>705.559807951731</v>
      </c>
      <c r="G178" s="6">
        <v>707.853681531733</v>
      </c>
      <c r="L178" s="6">
        <v>705.824132490277</v>
      </c>
    </row>
    <row r="179" spans="1:12">
      <c r="A179" s="6">
        <v>2027</v>
      </c>
      <c r="B179" s="6">
        <v>769.391504353057</v>
      </c>
      <c r="C179" s="6">
        <v>714.26625081222</v>
      </c>
      <c r="G179" s="6">
        <v>715.554716041789</v>
      </c>
      <c r="L179" s="6">
        <v>714.59243443873</v>
      </c>
    </row>
    <row r="180" spans="1:12">
      <c r="A180" s="6">
        <v>2028</v>
      </c>
      <c r="B180" s="6">
        <v>783.096688592889</v>
      </c>
      <c r="C180" s="6">
        <v>721.819464470292</v>
      </c>
      <c r="G180" s="6">
        <v>721.09946111768</v>
      </c>
      <c r="L180" s="6">
        <v>721.055387673998</v>
      </c>
    </row>
    <row r="181" spans="1:12">
      <c r="A181" s="6">
        <v>2029</v>
      </c>
      <c r="B181" s="6">
        <v>795.656087020921</v>
      </c>
      <c r="C181" s="6">
        <v>726.891222906976</v>
      </c>
      <c r="G181" s="6">
        <v>726.576035532934</v>
      </c>
      <c r="L181" s="6">
        <v>727.786947604695</v>
      </c>
    </row>
    <row r="182" spans="1:12">
      <c r="A182" s="6">
        <v>2030</v>
      </c>
      <c r="B182" s="6">
        <v>807.117924055735</v>
      </c>
      <c r="C182" s="6">
        <v>730.273244803459</v>
      </c>
      <c r="G182" s="6">
        <v>730.095565789341</v>
      </c>
      <c r="L182" s="6">
        <v>732.548959538109</v>
      </c>
    </row>
    <row r="183" spans="1:12">
      <c r="A183" s="6">
        <v>2031</v>
      </c>
      <c r="B183" s="6">
        <v>832.009620871758</v>
      </c>
      <c r="C183" s="6">
        <v>746.654996560707</v>
      </c>
      <c r="G183" s="6">
        <v>744.666228559396</v>
      </c>
      <c r="L183" s="6">
        <v>749.053034544016</v>
      </c>
    </row>
    <row r="184" spans="1:12">
      <c r="A184" s="6">
        <v>2032</v>
      </c>
      <c r="B184" s="6">
        <v>855.180141874573</v>
      </c>
      <c r="C184" s="6">
        <v>759.44140800352</v>
      </c>
      <c r="G184" s="6">
        <v>759.584335948993</v>
      </c>
      <c r="L184" s="6">
        <v>764.068250724944</v>
      </c>
    </row>
    <row r="185" spans="1:12">
      <c r="A185" s="6">
        <v>2033</v>
      </c>
      <c r="B185" s="6">
        <v>876.699305039234</v>
      </c>
      <c r="C185" s="6">
        <v>772.048976730478</v>
      </c>
      <c r="G185" s="6">
        <v>771.778478732784</v>
      </c>
      <c r="L185" s="6">
        <v>776.227471679377</v>
      </c>
    </row>
    <row r="186" spans="1:12">
      <c r="A186" s="6">
        <v>2034</v>
      </c>
      <c r="B186" s="6">
        <v>896.634529946443</v>
      </c>
      <c r="C186" s="6">
        <v>781.095136076297</v>
      </c>
      <c r="G186" s="6">
        <v>780.687556069877</v>
      </c>
      <c r="L186" s="6">
        <v>787.576615228511</v>
      </c>
    </row>
    <row r="187" spans="1:12">
      <c r="A187" s="6">
        <v>2035</v>
      </c>
      <c r="B187" s="6">
        <v>915.050913654615</v>
      </c>
      <c r="C187" s="6">
        <v>789.884490522081</v>
      </c>
      <c r="G187" s="6">
        <v>790.274510288114</v>
      </c>
      <c r="L187" s="6">
        <v>798.40955707908</v>
      </c>
    </row>
    <row r="188" spans="1:12">
      <c r="A188" s="6">
        <v>2036</v>
      </c>
      <c r="B188" s="6">
        <v>932.011304287432</v>
      </c>
      <c r="C188" s="6">
        <v>796.801921772626</v>
      </c>
      <c r="G188" s="6">
        <v>796.42224146223</v>
      </c>
      <c r="L188" s="6">
        <v>805.908079473689</v>
      </c>
    </row>
    <row r="189" spans="1:12">
      <c r="A189" s="6">
        <v>2037</v>
      </c>
      <c r="B189" s="6">
        <v>947.576372403442</v>
      </c>
      <c r="C189" s="6">
        <v>802.569411398285</v>
      </c>
      <c r="G189" s="6">
        <v>800.368661088884</v>
      </c>
      <c r="L189" s="6">
        <v>813.889912981707</v>
      </c>
    </row>
    <row r="190" spans="1:12">
      <c r="A190" s="6">
        <v>2038</v>
      </c>
      <c r="B190" s="6">
        <v>961.804680212362</v>
      </c>
      <c r="C190" s="6">
        <v>806.849845447232</v>
      </c>
      <c r="G190" s="6">
        <v>805.901052497664</v>
      </c>
      <c r="L190" s="6">
        <v>819.824413314965</v>
      </c>
    </row>
    <row r="191" spans="1:12">
      <c r="A191" s="6">
        <v>2039</v>
      </c>
      <c r="B191" s="6">
        <v>974.752748700914</v>
      </c>
      <c r="C191" s="6">
        <v>809.97818224745</v>
      </c>
      <c r="G191" s="6">
        <v>807.6226527798</v>
      </c>
      <c r="L191" s="6">
        <v>824.509343516719</v>
      </c>
    </row>
    <row r="192" spans="1:12">
      <c r="A192" s="6">
        <v>2040</v>
      </c>
      <c r="B192" s="6">
        <v>986.475122729229</v>
      </c>
      <c r="C192" s="6">
        <v>811.924879857842</v>
      </c>
      <c r="G192" s="6">
        <v>808.738575569898</v>
      </c>
      <c r="L192" s="6">
        <v>828.056337735259</v>
      </c>
    </row>
    <row r="193" spans="1:12">
      <c r="A193" s="6">
        <v>2041</v>
      </c>
      <c r="B193" s="6">
        <v>1033.32113007291</v>
      </c>
      <c r="C193" s="6">
        <v>842.353493750593</v>
      </c>
      <c r="G193" s="6">
        <v>838.713542883073</v>
      </c>
      <c r="L193" s="6">
        <v>860.714735111973</v>
      </c>
    </row>
    <row r="194" spans="1:12">
      <c r="A194" s="6">
        <v>2042</v>
      </c>
      <c r="B194" s="6">
        <v>1059.35689144135</v>
      </c>
      <c r="C194" s="6">
        <v>854.744059532923</v>
      </c>
      <c r="G194" s="6">
        <v>849.687849361572</v>
      </c>
      <c r="L194" s="6">
        <v>875.830388449807</v>
      </c>
    </row>
    <row r="195" spans="1:12">
      <c r="A195" s="6">
        <v>2043</v>
      </c>
      <c r="B195" s="6">
        <v>1084.54772586812</v>
      </c>
      <c r="C195" s="6">
        <v>866.916653324723</v>
      </c>
      <c r="G195" s="6">
        <v>861.055304457317</v>
      </c>
      <c r="L195" s="6">
        <v>890.861797557079</v>
      </c>
    </row>
    <row r="196" spans="1:12">
      <c r="A196" s="6">
        <v>2044</v>
      </c>
      <c r="B196" s="6">
        <v>1108.91111600336</v>
      </c>
      <c r="C196" s="6">
        <v>878.269569059</v>
      </c>
      <c r="G196" s="6">
        <v>872.537003694685</v>
      </c>
      <c r="L196" s="6">
        <v>903.840257392823</v>
      </c>
    </row>
    <row r="197" spans="1:12">
      <c r="A197" s="6">
        <v>2045</v>
      </c>
      <c r="B197" s="6">
        <v>1132.46423384044</v>
      </c>
      <c r="C197" s="6">
        <v>888.706490098357</v>
      </c>
      <c r="G197" s="6">
        <v>879.926415025185</v>
      </c>
      <c r="L197" s="6">
        <v>917.625068706316</v>
      </c>
    </row>
    <row r="198" spans="1:12">
      <c r="A198" s="6">
        <v>2046</v>
      </c>
      <c r="B198" s="6">
        <v>1155.22394582433</v>
      </c>
      <c r="C198" s="6">
        <v>898.58521428269</v>
      </c>
      <c r="G198" s="6">
        <v>888.793010274391</v>
      </c>
      <c r="L198" s="6">
        <v>928.516981865709</v>
      </c>
    </row>
    <row r="199" spans="1:12">
      <c r="A199" s="6">
        <v>2047</v>
      </c>
      <c r="B199" s="6">
        <v>1177.20681787984</v>
      </c>
      <c r="C199" s="6">
        <v>908.482380141782</v>
      </c>
      <c r="G199" s="6">
        <v>895.726263876521</v>
      </c>
      <c r="L199" s="6">
        <v>940.130831500452</v>
      </c>
    </row>
    <row r="200" spans="1:12">
      <c r="A200" s="6">
        <v>2048</v>
      </c>
      <c r="B200" s="6">
        <v>1198.42912036089</v>
      </c>
      <c r="C200" s="6">
        <v>916.711466826135</v>
      </c>
      <c r="G200" s="6">
        <v>904.045877276396</v>
      </c>
      <c r="L200" s="6">
        <v>950.918118694098</v>
      </c>
    </row>
    <row r="201" spans="1:12">
      <c r="A201" s="6">
        <v>2049</v>
      </c>
      <c r="B201" s="6">
        <v>1218.90683292212</v>
      </c>
      <c r="C201" s="6">
        <v>924.756153733442</v>
      </c>
      <c r="G201" s="6">
        <v>908.602097913658</v>
      </c>
      <c r="L201" s="6">
        <v>961.802753863194</v>
      </c>
    </row>
    <row r="202" spans="1:12">
      <c r="A202" s="6">
        <v>2050</v>
      </c>
      <c r="B202" s="6">
        <v>1238.65564931394</v>
      </c>
      <c r="C202" s="6">
        <v>932.046937872819</v>
      </c>
      <c r="G202" s="6">
        <v>913.524201556093</v>
      </c>
      <c r="L202" s="6">
        <v>971.44994867485</v>
      </c>
    </row>
    <row r="203" spans="1:12">
      <c r="A203" s="6">
        <v>2051</v>
      </c>
      <c r="B203" s="6">
        <v>1260.74175857484</v>
      </c>
      <c r="C203" s="6">
        <v>941.198283556208</v>
      </c>
      <c r="G203" s="6">
        <v>920.364616201339</v>
      </c>
      <c r="L203" s="6">
        <v>982.8503921114</v>
      </c>
    </row>
    <row r="204" spans="1:12">
      <c r="A204" s="6">
        <v>2052</v>
      </c>
      <c r="B204" s="6">
        <v>1282.05071342492</v>
      </c>
      <c r="C204" s="6">
        <v>949.573511381232</v>
      </c>
      <c r="G204" s="6">
        <v>925.366580777647</v>
      </c>
      <c r="L204" s="6">
        <v>993.554001874412</v>
      </c>
    </row>
    <row r="205" spans="1:12">
      <c r="A205" s="6">
        <v>2053</v>
      </c>
      <c r="B205" s="6">
        <v>1302.59890471185</v>
      </c>
      <c r="C205" s="6">
        <v>957.524705383313</v>
      </c>
      <c r="G205" s="6">
        <v>940.873843708127</v>
      </c>
      <c r="L205" s="6">
        <v>1003.59284163347</v>
      </c>
    </row>
    <row r="206" spans="1:12">
      <c r="A206" s="6">
        <v>2054</v>
      </c>
      <c r="B206" s="6">
        <v>1322.40242952391</v>
      </c>
      <c r="C206" s="6">
        <v>964.879623936478</v>
      </c>
      <c r="G206" s="6">
        <v>957.055507273028</v>
      </c>
      <c r="L206" s="6">
        <v>1012.99014720731</v>
      </c>
    </row>
    <row r="207" spans="1:12">
      <c r="A207" s="6">
        <v>2055</v>
      </c>
      <c r="B207" s="6">
        <v>1341.477096044</v>
      </c>
      <c r="C207" s="6">
        <v>971.755075890993</v>
      </c>
      <c r="G207" s="6">
        <v>972.911043441462</v>
      </c>
      <c r="L207" s="6">
        <v>1021.76699296437</v>
      </c>
    </row>
    <row r="208" spans="1:12">
      <c r="A208" s="6">
        <v>2056</v>
      </c>
      <c r="B208" s="6">
        <v>1359.83842832722</v>
      </c>
      <c r="C208" s="6">
        <v>979.60603109984</v>
      </c>
      <c r="G208" s="6">
        <v>988.489728678914</v>
      </c>
      <c r="L208" s="6">
        <v>1029.94824666054</v>
      </c>
    </row>
    <row r="209" spans="1:12">
      <c r="A209" s="6">
        <v>2057</v>
      </c>
      <c r="B209" s="6">
        <v>1377.50167100334</v>
      </c>
      <c r="C209" s="6">
        <v>985.031463445641</v>
      </c>
      <c r="G209" s="6">
        <v>1003.77757410428</v>
      </c>
      <c r="L209" s="6">
        <v>1037.57691456719</v>
      </c>
    </row>
    <row r="210" spans="1:12">
      <c r="A210" s="6">
        <v>2058</v>
      </c>
      <c r="B210" s="6">
        <v>1394.48179390503</v>
      </c>
      <c r="C210" s="6">
        <v>995.74502798724</v>
      </c>
      <c r="G210" s="6">
        <v>1018.79331480882</v>
      </c>
      <c r="L210" s="6">
        <v>1044.67136972492</v>
      </c>
    </row>
    <row r="211" spans="1:12">
      <c r="A211" s="6">
        <v>2059</v>
      </c>
      <c r="B211" s="6">
        <v>1410.79349662334</v>
      </c>
      <c r="C211" s="6">
        <v>1008.457682909</v>
      </c>
      <c r="G211" s="6">
        <v>1033.55882504314</v>
      </c>
      <c r="L211" s="6">
        <v>1051.24505643078</v>
      </c>
    </row>
    <row r="212" spans="1:12">
      <c r="A212" s="6">
        <v>2060</v>
      </c>
      <c r="B212" s="6">
        <v>1426.45121299116</v>
      </c>
      <c r="C212" s="6">
        <v>1020.776782443</v>
      </c>
      <c r="G212" s="6">
        <v>1048.09186870679</v>
      </c>
      <c r="L212" s="6">
        <v>1057.31912839147</v>
      </c>
    </row>
    <row r="213" spans="1:12">
      <c r="A213" s="6">
        <v>2061</v>
      </c>
      <c r="B213" s="6">
        <v>1445.56102022701</v>
      </c>
      <c r="C213" s="6">
        <v>1035.62828515567</v>
      </c>
      <c r="G213" s="6">
        <v>1065.32468058652</v>
      </c>
      <c r="L213" s="6">
        <v>1065.86953079565</v>
      </c>
    </row>
    <row r="214" spans="1:12">
      <c r="A214" s="6">
        <v>2062</v>
      </c>
      <c r="B214" s="6">
        <v>1463.9392281074</v>
      </c>
      <c r="C214" s="6">
        <v>1050.04972270919</v>
      </c>
      <c r="G214" s="6">
        <v>1082.28356663136</v>
      </c>
      <c r="L214" s="6">
        <v>1074.13693951655</v>
      </c>
    </row>
    <row r="215" spans="1:12">
      <c r="A215" s="6">
        <v>2063</v>
      </c>
      <c r="B215" s="6">
        <v>1481.60154721951</v>
      </c>
      <c r="C215" s="6">
        <v>1063.9546283772</v>
      </c>
      <c r="G215" s="6">
        <v>1098.985527205</v>
      </c>
      <c r="L215" s="6">
        <v>1081.65217953856</v>
      </c>
    </row>
    <row r="216" spans="1:12">
      <c r="A216" s="6">
        <v>2064</v>
      </c>
      <c r="B216" s="6">
        <v>1498.563404364</v>
      </c>
      <c r="C216" s="6">
        <v>1077.51681005149</v>
      </c>
      <c r="G216" s="6">
        <v>1115.4245038751</v>
      </c>
      <c r="L216" s="6">
        <v>1088.5444032459</v>
      </c>
    </row>
    <row r="217" spans="1:12">
      <c r="A217" s="6">
        <v>2065</v>
      </c>
      <c r="B217" s="6">
        <v>1514.83994726481</v>
      </c>
      <c r="C217" s="6">
        <v>1090.62085831868</v>
      </c>
      <c r="G217" s="6">
        <v>1131.61089990667</v>
      </c>
      <c r="L217" s="6">
        <v>1094.88173687951</v>
      </c>
    </row>
    <row r="218" spans="1:12">
      <c r="A218" s="6">
        <v>2066</v>
      </c>
      <c r="B218" s="6">
        <v>1530.44604920474</v>
      </c>
      <c r="C218" s="6">
        <v>1103.28308861526</v>
      </c>
      <c r="G218" s="6">
        <v>1147.54619652225</v>
      </c>
      <c r="L218" s="6">
        <v>1100.69639692128</v>
      </c>
    </row>
    <row r="219" spans="1:12">
      <c r="A219" s="6">
        <v>2067</v>
      </c>
      <c r="B219" s="6">
        <v>1545.39631358778</v>
      </c>
      <c r="C219" s="6">
        <v>1115.63554644159</v>
      </c>
      <c r="G219" s="6">
        <v>1163.22493810865</v>
      </c>
      <c r="L219" s="6">
        <v>1111.02994475816</v>
      </c>
    </row>
    <row r="220" spans="1:12">
      <c r="A220" s="6">
        <v>2068</v>
      </c>
      <c r="B220" s="6">
        <v>1559.70507842941</v>
      </c>
      <c r="C220" s="6">
        <v>1127.5144014311</v>
      </c>
      <c r="G220" s="6">
        <v>1178.63638634745</v>
      </c>
      <c r="L220" s="6">
        <v>1122.36537969133</v>
      </c>
    </row>
    <row r="221" spans="1:12">
      <c r="A221" s="6">
        <v>2069</v>
      </c>
      <c r="B221" s="6">
        <v>1573.38642077591</v>
      </c>
      <c r="C221" s="6">
        <v>1139.11233929394</v>
      </c>
      <c r="G221" s="6">
        <v>1193.76442471203</v>
      </c>
      <c r="L221" s="6">
        <v>1133.30410502648</v>
      </c>
    </row>
    <row r="222" spans="1:12">
      <c r="A222" s="6">
        <v>2070</v>
      </c>
      <c r="B222" s="6">
        <v>1586.45416105377</v>
      </c>
      <c r="C222" s="6">
        <v>1150.26386189633</v>
      </c>
      <c r="G222" s="6">
        <v>1208.64682680529</v>
      </c>
      <c r="L222" s="6">
        <v>1143.85605775882</v>
      </c>
    </row>
    <row r="223" spans="1:12">
      <c r="A223" s="6">
        <v>2071</v>
      </c>
      <c r="B223" s="6">
        <v>1600.80888208342</v>
      </c>
      <c r="C223" s="6">
        <v>1162.48481814928</v>
      </c>
      <c r="G223" s="6">
        <v>1224.46570702609</v>
      </c>
      <c r="L223" s="6">
        <v>1155.35194296788</v>
      </c>
    </row>
    <row r="224" spans="1:12">
      <c r="A224" s="6">
        <v>2072</v>
      </c>
      <c r="B224" s="6">
        <v>1614.52814423771</v>
      </c>
      <c r="C224" s="6">
        <v>1174.24242692279</v>
      </c>
      <c r="G224" s="6">
        <v>1239.90865492322</v>
      </c>
      <c r="L224" s="6">
        <v>1166.44625117711</v>
      </c>
    </row>
    <row r="225" spans="1:12">
      <c r="A225" s="6">
        <v>2073</v>
      </c>
      <c r="B225" s="6">
        <v>1627.62596787035</v>
      </c>
      <c r="C225" s="6">
        <v>1185.71408441561</v>
      </c>
      <c r="G225" s="6">
        <v>1254.8859317406</v>
      </c>
      <c r="L225" s="6">
        <v>1177.14891868264</v>
      </c>
    </row>
    <row r="226" spans="1:12">
      <c r="A226" s="6">
        <v>2074</v>
      </c>
      <c r="B226" s="6">
        <v>1640.11611717203</v>
      </c>
      <c r="C226" s="6">
        <v>1196.74559231832</v>
      </c>
      <c r="G226" s="6">
        <v>1269.37107480308</v>
      </c>
      <c r="L226" s="6">
        <v>1187.46992481058</v>
      </c>
    </row>
    <row r="227" spans="1:12">
      <c r="A227" s="6">
        <v>2075</v>
      </c>
      <c r="B227" s="6">
        <v>1652.01210444869</v>
      </c>
      <c r="C227" s="6">
        <v>1207.4908558902</v>
      </c>
      <c r="G227" s="6">
        <v>1283.32839260582</v>
      </c>
      <c r="L227" s="6">
        <v>1197.41894931901</v>
      </c>
    </row>
    <row r="228" spans="1:12">
      <c r="A228" s="6">
        <v>2076</v>
      </c>
      <c r="B228" s="6">
        <v>1663.32719433199</v>
      </c>
      <c r="C228" s="6">
        <v>1217.82707806915</v>
      </c>
      <c r="G228" s="6">
        <v>1296.72227053027</v>
      </c>
      <c r="L228" s="6">
        <v>1207.00537293422</v>
      </c>
    </row>
    <row r="229" spans="1:12">
      <c r="A229" s="6">
        <v>2077</v>
      </c>
      <c r="B229" s="6">
        <v>1674.07440792308</v>
      </c>
      <c r="C229" s="6">
        <v>1227.86591993307</v>
      </c>
      <c r="G229" s="6">
        <v>1309.51802484422</v>
      </c>
      <c r="L229" s="6">
        <v>1216.23827025996</v>
      </c>
    </row>
    <row r="230" spans="1:12">
      <c r="A230" s="6">
        <v>2078</v>
      </c>
      <c r="B230" s="6">
        <v>1684.26652687058</v>
      </c>
      <c r="C230" s="6">
        <v>1237.66159816616</v>
      </c>
      <c r="G230" s="6">
        <v>1321.68438572847</v>
      </c>
      <c r="L230" s="6">
        <v>1225.12640380117</v>
      </c>
    </row>
    <row r="231" spans="1:12">
      <c r="A231" s="6">
        <v>2079</v>
      </c>
      <c r="B231" s="6">
        <v>1693.91609738388</v>
      </c>
      <c r="C231" s="6">
        <v>1247.14909207505</v>
      </c>
      <c r="G231" s="6">
        <v>1333.19514153628</v>
      </c>
      <c r="L231" s="6">
        <v>1233.67682073739</v>
      </c>
    </row>
    <row r="232" spans="1:12">
      <c r="A232" s="6">
        <v>2080</v>
      </c>
      <c r="B232" s="6">
        <v>1703.03543418277</v>
      </c>
      <c r="C232" s="6">
        <v>1256.32603739826</v>
      </c>
      <c r="G232" s="6">
        <v>1344.03016504061</v>
      </c>
      <c r="L232" s="6">
        <v>1241.8967463457</v>
      </c>
    </row>
    <row r="233" spans="1:12">
      <c r="A233" s="6">
        <v>2081</v>
      </c>
      <c r="B233" s="6">
        <v>1713.20281002869</v>
      </c>
      <c r="C233" s="6">
        <v>1266.29362483401</v>
      </c>
      <c r="G233" s="6">
        <v>1355.40455803435</v>
      </c>
      <c r="L233" s="6">
        <v>1250.89021917786</v>
      </c>
    </row>
    <row r="234" spans="1:12">
      <c r="A234" s="6">
        <v>2082</v>
      </c>
      <c r="B234" s="6">
        <v>1722.82344533165</v>
      </c>
      <c r="C234" s="6">
        <v>1275.93115477675</v>
      </c>
      <c r="G234" s="6">
        <v>1365.94471532255</v>
      </c>
      <c r="L234" s="6">
        <v>1259.53998464441</v>
      </c>
    </row>
    <row r="235" spans="1:12">
      <c r="A235" s="6">
        <v>2083</v>
      </c>
      <c r="B235" s="6">
        <v>1731.90976722846</v>
      </c>
      <c r="C235" s="6">
        <v>1285.2428076198</v>
      </c>
      <c r="G235" s="6">
        <v>1375.73403523159</v>
      </c>
      <c r="L235" s="6">
        <v>1267.8535707961</v>
      </c>
    </row>
    <row r="236" spans="1:12">
      <c r="A236" s="6">
        <v>2084</v>
      </c>
      <c r="B236" s="6">
        <v>1740.47397304852</v>
      </c>
      <c r="C236" s="6">
        <v>1294.23202202283</v>
      </c>
      <c r="G236" s="6">
        <v>1384.81702210475</v>
      </c>
      <c r="L236" s="6">
        <v>1275.83820333598</v>
      </c>
    </row>
    <row r="237" spans="1:12">
      <c r="A237" s="6">
        <v>2085</v>
      </c>
      <c r="B237" s="6">
        <v>1748.52803417703</v>
      </c>
      <c r="C237" s="6">
        <v>1302.90178719181</v>
      </c>
      <c r="G237" s="6">
        <v>1393.20806904991</v>
      </c>
      <c r="L237" s="6">
        <v>1283.50078584553</v>
      </c>
    </row>
    <row r="238" spans="1:12">
      <c r="A238" s="6">
        <v>2086</v>
      </c>
      <c r="B238" s="6">
        <v>1756.08369985679</v>
      </c>
      <c r="C238" s="6">
        <v>1311.25455641803</v>
      </c>
      <c r="G238" s="6">
        <v>1400.91846227662</v>
      </c>
      <c r="L238" s="6">
        <v>1290.8478992666</v>
      </c>
    </row>
    <row r="239" spans="1:12">
      <c r="A239" s="6">
        <v>2087</v>
      </c>
      <c r="B239" s="6">
        <v>1763.15250092945</v>
      </c>
      <c r="C239" s="6">
        <v>1319.29235563165</v>
      </c>
      <c r="G239" s="6">
        <v>1407.96784776619</v>
      </c>
      <c r="L239" s="6">
        <v>1297.88580637355</v>
      </c>
    </row>
    <row r="240" spans="1:12">
      <c r="A240" s="6">
        <v>2088</v>
      </c>
      <c r="B240" s="6">
        <v>1769.74575351717</v>
      </c>
      <c r="C240" s="6">
        <v>1327.01680405308</v>
      </c>
      <c r="G240" s="6">
        <v>1414.51026904065</v>
      </c>
      <c r="L240" s="6">
        <v>1304.62045934886</v>
      </c>
    </row>
    <row r="241" spans="1:12">
      <c r="A241" s="6">
        <v>2089</v>
      </c>
      <c r="B241" s="6">
        <v>1775.87456264566</v>
      </c>
      <c r="C241" s="6">
        <v>1334.42918355742</v>
      </c>
      <c r="G241" s="6">
        <v>1420.32121886616</v>
      </c>
      <c r="L241" s="6">
        <v>1311.05750901515</v>
      </c>
    </row>
    <row r="242" spans="1:12">
      <c r="A242" s="6">
        <v>2090</v>
      </c>
      <c r="B242" s="6">
        <v>1781.54982580939</v>
      </c>
      <c r="C242" s="6">
        <v>1341.53049147956</v>
      </c>
      <c r="G242" s="6">
        <v>1425.49722065454</v>
      </c>
      <c r="L242" s="6">
        <v>1317.20231512322</v>
      </c>
    </row>
    <row r="243" spans="1:12">
      <c r="A243" s="6">
        <v>2091</v>
      </c>
      <c r="B243" s="6">
        <v>1788.17742824938</v>
      </c>
      <c r="C243" s="6">
        <v>1349.29824383012</v>
      </c>
      <c r="G243" s="6">
        <v>1431.26501780095</v>
      </c>
      <c r="L243" s="6">
        <v>1324.03667110962</v>
      </c>
    </row>
    <row r="244" spans="1:12">
      <c r="A244" s="6">
        <v>2092</v>
      </c>
      <c r="B244" s="6">
        <v>1794.33663088024</v>
      </c>
      <c r="C244" s="6">
        <v>1356.73121879643</v>
      </c>
      <c r="G244" s="6">
        <v>1436.47622017524</v>
      </c>
      <c r="L244" s="6">
        <v>1330.56365617085</v>
      </c>
    </row>
    <row r="245" spans="1:12">
      <c r="A245" s="6">
        <v>2093</v>
      </c>
      <c r="B245" s="6">
        <v>1800.03842766558</v>
      </c>
      <c r="C245" s="6">
        <v>1363.83046277701</v>
      </c>
      <c r="G245" s="6">
        <v>1441.13542081359</v>
      </c>
      <c r="L245" s="6">
        <v>1336.78825135138</v>
      </c>
    </row>
    <row r="246" spans="1:12">
      <c r="A246" s="6">
        <v>2094</v>
      </c>
      <c r="B246" s="6">
        <v>1805.29360671415</v>
      </c>
      <c r="C246" s="6">
        <v>1370.59695598397</v>
      </c>
      <c r="G246" s="6">
        <v>1445.35651898312</v>
      </c>
      <c r="L246" s="6">
        <v>1342.71524046432</v>
      </c>
    </row>
    <row r="247" spans="1:12">
      <c r="A247" s="6">
        <v>2095</v>
      </c>
      <c r="B247" s="6">
        <v>1810.11275376344</v>
      </c>
      <c r="C247" s="6">
        <v>1377.03170632034</v>
      </c>
      <c r="G247" s="6">
        <v>1449.1831305681</v>
      </c>
      <c r="L247" s="6">
        <v>1348.3491861757</v>
      </c>
    </row>
    <row r="248" spans="1:12">
      <c r="A248" s="6">
        <v>2096</v>
      </c>
      <c r="B248" s="6">
        <v>1814.50625560763</v>
      </c>
      <c r="C248" s="6">
        <v>1383.13579937114</v>
      </c>
      <c r="G248" s="6">
        <v>1452.53856085717</v>
      </c>
      <c r="L248" s="6">
        <v>1353.69443881099</v>
      </c>
    </row>
    <row r="249" spans="1:12">
      <c r="A249" s="6">
        <v>2097</v>
      </c>
      <c r="B249" s="6">
        <v>1818.48430347067</v>
      </c>
      <c r="C249" s="6">
        <v>1388.91045771782</v>
      </c>
      <c r="G249" s="6">
        <v>1455.38466675573</v>
      </c>
      <c r="L249" s="6">
        <v>1358.75515370398</v>
      </c>
    </row>
    <row r="250" spans="1:12">
      <c r="A250" s="6">
        <v>2098</v>
      </c>
      <c r="B250" s="6">
        <v>1822.05689632554</v>
      </c>
      <c r="C250" s="6">
        <v>1394.3570903982</v>
      </c>
      <c r="G250" s="6">
        <v>1458.04332003664</v>
      </c>
      <c r="L250" s="6">
        <v>1363.53705671324</v>
      </c>
    </row>
    <row r="251" spans="1:12">
      <c r="A251" s="6">
        <v>2099</v>
      </c>
      <c r="B251" s="6">
        <v>1825.23384416029</v>
      </c>
      <c r="C251" s="6">
        <v>1399.47733802155</v>
      </c>
      <c r="G251" s="6">
        <v>1460.38536624735</v>
      </c>
      <c r="L251" s="6">
        <v>1368.04213668733</v>
      </c>
    </row>
    <row r="252" spans="1:12">
      <c r="A252" s="6">
        <v>2100</v>
      </c>
      <c r="B252" s="6">
        <v>1828.02477119185</v>
      </c>
      <c r="C252" s="6">
        <v>1404.27311073691</v>
      </c>
      <c r="G252" s="6">
        <v>1462.2172785743</v>
      </c>
      <c r="L252" s="6">
        <v>1372.27418000668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5"/>
  <sheetViews>
    <sheetView workbookViewId="0">
      <selection activeCell="H1" sqref="C$1:C$1048576 F$1:F$1048576 H$1:H$1048576"/>
    </sheetView>
  </sheetViews>
  <sheetFormatPr defaultColWidth="9" defaultRowHeight="14.4"/>
  <cols>
    <col min="2" max="2" width="9" style="1"/>
    <col min="9" max="9" width="9" style="1"/>
    <col min="11" max="11" width="14.1111111111111" style="1"/>
    <col min="12" max="16" width="12.8888888888889" style="1"/>
    <col min="19" max="24" width="12.8888888888889" style="2"/>
    <col min="27" max="27" width="14.1111111111111" style="1"/>
    <col min="28" max="32" width="12.8888888888889" style="1"/>
  </cols>
  <sheetData>
    <row r="1" spans="1:32">
      <c r="A1" t="s">
        <v>7</v>
      </c>
      <c r="B1" s="3" t="s">
        <v>8</v>
      </c>
      <c r="C1" t="s">
        <v>9</v>
      </c>
      <c r="F1" t="s">
        <v>10</v>
      </c>
      <c r="G1" t="s">
        <v>11</v>
      </c>
      <c r="H1" t="s">
        <v>11</v>
      </c>
      <c r="I1" s="3" t="s">
        <v>0</v>
      </c>
      <c r="J1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R1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17</v>
      </c>
      <c r="X1" s="5" t="s">
        <v>18</v>
      </c>
      <c r="Z1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17</v>
      </c>
      <c r="AF1" s="3" t="s">
        <v>18</v>
      </c>
    </row>
    <row r="2" spans="2:32">
      <c r="B2" s="1">
        <v>2017</v>
      </c>
      <c r="C2">
        <v>471.646972974352</v>
      </c>
      <c r="F2">
        <v>473.125428723292</v>
      </c>
      <c r="H2">
        <v>469.79153704359</v>
      </c>
      <c r="I2" s="4">
        <v>2017</v>
      </c>
      <c r="K2" s="1">
        <v>36.4146674184527</v>
      </c>
      <c r="L2" s="1">
        <v>9.93127293230528</v>
      </c>
      <c r="M2" s="1">
        <v>0</v>
      </c>
      <c r="N2" s="1">
        <v>0</v>
      </c>
      <c r="O2" s="1">
        <v>0</v>
      </c>
      <c r="P2" s="1">
        <v>1</v>
      </c>
      <c r="S2" s="2">
        <v>36.4146674184527</v>
      </c>
      <c r="T2" s="2">
        <v>9.93127293230528</v>
      </c>
      <c r="U2" s="2">
        <v>0</v>
      </c>
      <c r="V2" s="2">
        <v>0</v>
      </c>
      <c r="W2" s="2">
        <v>0</v>
      </c>
      <c r="X2" s="2">
        <v>1</v>
      </c>
      <c r="AA2" s="1">
        <v>36.4146674184527</v>
      </c>
      <c r="AB2" s="1">
        <v>9.93127293230528</v>
      </c>
      <c r="AC2" s="1">
        <v>0</v>
      </c>
      <c r="AD2" s="1">
        <v>0</v>
      </c>
      <c r="AE2" s="1">
        <v>0</v>
      </c>
      <c r="AF2" s="1">
        <v>1</v>
      </c>
    </row>
    <row r="3" spans="2:32">
      <c r="B3" s="1">
        <v>2018</v>
      </c>
      <c r="C3">
        <v>462.533629875016</v>
      </c>
      <c r="F3">
        <v>475.907020557279</v>
      </c>
      <c r="H3">
        <v>441.872351181767</v>
      </c>
      <c r="I3" s="1">
        <v>2018</v>
      </c>
      <c r="K3" s="1">
        <v>35.5167847463476</v>
      </c>
      <c r="L3" s="1">
        <v>9.68639583991299</v>
      </c>
      <c r="M3" s="1">
        <v>0</v>
      </c>
      <c r="N3" s="1">
        <v>0</v>
      </c>
      <c r="O3" s="1">
        <v>0</v>
      </c>
      <c r="P3" s="1">
        <v>1</v>
      </c>
      <c r="S3" s="2">
        <v>36.7617182966692</v>
      </c>
      <c r="T3" s="2">
        <v>10.0259231718189</v>
      </c>
      <c r="U3" s="2">
        <v>0</v>
      </c>
      <c r="V3" s="2">
        <v>0</v>
      </c>
      <c r="W3" s="2">
        <v>0</v>
      </c>
      <c r="X3" s="2">
        <v>1</v>
      </c>
      <c r="AA3" s="1">
        <v>34.0709067348513</v>
      </c>
      <c r="AB3" s="1">
        <v>9.29206547314126</v>
      </c>
      <c r="AC3" s="1">
        <v>0</v>
      </c>
      <c r="AD3" s="1">
        <v>0</v>
      </c>
      <c r="AE3" s="1">
        <v>0</v>
      </c>
      <c r="AF3" s="1">
        <v>1</v>
      </c>
    </row>
    <row r="4" spans="2:32">
      <c r="B4" s="1">
        <v>2019</v>
      </c>
      <c r="C4">
        <v>453.489397233217</v>
      </c>
      <c r="F4">
        <v>477.287868563599</v>
      </c>
      <c r="H4">
        <v>398.079879122548</v>
      </c>
      <c r="I4" s="1">
        <v>2019</v>
      </c>
      <c r="K4" s="1">
        <v>34.8845408772784</v>
      </c>
      <c r="L4" s="1">
        <v>9.51396569380319</v>
      </c>
      <c r="M4" s="1">
        <v>0</v>
      </c>
      <c r="N4" s="1">
        <v>0</v>
      </c>
      <c r="O4" s="1">
        <v>0</v>
      </c>
      <c r="P4" s="1">
        <v>1</v>
      </c>
      <c r="S4" s="2">
        <v>36.7749383225332</v>
      </c>
      <c r="T4" s="2">
        <v>10.0295286334182</v>
      </c>
      <c r="U4" s="2">
        <v>0</v>
      </c>
      <c r="V4" s="2">
        <v>0</v>
      </c>
      <c r="W4" s="2">
        <v>0</v>
      </c>
      <c r="X4" s="2">
        <v>1</v>
      </c>
      <c r="AA4" s="1">
        <v>30.508656559318</v>
      </c>
      <c r="AB4" s="1">
        <v>8.32054269799583</v>
      </c>
      <c r="AC4" s="1">
        <v>0</v>
      </c>
      <c r="AD4" s="1">
        <v>0</v>
      </c>
      <c r="AE4" s="1">
        <v>0</v>
      </c>
      <c r="AF4" s="1">
        <v>1</v>
      </c>
    </row>
    <row r="5" spans="2:32">
      <c r="B5" s="1">
        <v>2020</v>
      </c>
      <c r="C5">
        <v>443.513158651074</v>
      </c>
      <c r="F5">
        <v>478.714934242466</v>
      </c>
      <c r="H5">
        <v>333.124421931324</v>
      </c>
      <c r="I5" s="1">
        <v>2020</v>
      </c>
      <c r="K5" s="1">
        <v>33.8345273946563</v>
      </c>
      <c r="L5" s="1">
        <v>9.26962056390781</v>
      </c>
      <c r="M5" s="1">
        <v>0.01</v>
      </c>
      <c r="N5" s="1">
        <v>0.01</v>
      </c>
      <c r="O5" s="1">
        <v>0.01</v>
      </c>
      <c r="P5" s="1">
        <v>0.454087578493541</v>
      </c>
      <c r="S5" s="2">
        <v>36.6309190134646</v>
      </c>
      <c r="T5" s="2">
        <v>10.0346763888624</v>
      </c>
      <c r="U5" s="2">
        <v>0.01</v>
      </c>
      <c r="V5" s="2">
        <v>0.01</v>
      </c>
      <c r="W5" s="2">
        <v>0.01</v>
      </c>
      <c r="X5" s="2">
        <v>0.409404029779279</v>
      </c>
      <c r="AA5" s="1">
        <v>25.2515660338194</v>
      </c>
      <c r="AB5" s="1">
        <v>6.92367101784286</v>
      </c>
      <c r="AC5" s="1">
        <v>0.01</v>
      </c>
      <c r="AD5" s="1">
        <v>0.01</v>
      </c>
      <c r="AE5" s="1">
        <v>0.01</v>
      </c>
      <c r="AF5" s="1">
        <v>0.592407187690483</v>
      </c>
    </row>
    <row r="6" spans="2:32">
      <c r="B6" s="1">
        <v>2021</v>
      </c>
      <c r="C6">
        <v>450.352072196442</v>
      </c>
      <c r="F6">
        <v>495.777163554304</v>
      </c>
      <c r="H6">
        <v>264.78295572998</v>
      </c>
      <c r="I6" s="1">
        <v>2021</v>
      </c>
      <c r="K6" s="1">
        <v>34.149369823301</v>
      </c>
      <c r="L6" s="1">
        <v>9.39539029677994</v>
      </c>
      <c r="M6" s="1">
        <v>0.0199883391247698</v>
      </c>
      <c r="N6" s="1">
        <v>0.0199929273216538</v>
      </c>
      <c r="O6" s="1">
        <v>0.0194355039683834</v>
      </c>
      <c r="P6" s="1">
        <v>0.463362029471773</v>
      </c>
      <c r="S6" s="2">
        <v>37.6514818525231</v>
      </c>
      <c r="T6" s="2">
        <v>10.3558401319561</v>
      </c>
      <c r="U6" s="2">
        <v>0.0199882893608139</v>
      </c>
      <c r="V6" s="2">
        <v>0.0199928971382888</v>
      </c>
      <c r="W6" s="2">
        <v>0.0192928971367557</v>
      </c>
      <c r="X6" s="2">
        <v>0.408116747018823</v>
      </c>
      <c r="AA6" s="1">
        <v>19.9969984477746</v>
      </c>
      <c r="AB6" s="1">
        <v>5.52257489675546</v>
      </c>
      <c r="AC6" s="1">
        <v>0.0199883729425081</v>
      </c>
      <c r="AD6" s="1">
        <v>0.0199929478331489</v>
      </c>
      <c r="AE6" s="1">
        <v>0.0197700439773989</v>
      </c>
      <c r="AF6" s="1">
        <v>0.684873081053748</v>
      </c>
    </row>
    <row r="7" spans="2:32">
      <c r="B7" s="1">
        <v>2022</v>
      </c>
      <c r="C7">
        <v>454.472108196623</v>
      </c>
      <c r="F7">
        <v>511.634531452128</v>
      </c>
      <c r="H7">
        <v>188.584371594812</v>
      </c>
      <c r="I7" s="1">
        <v>2022</v>
      </c>
      <c r="K7" s="1">
        <v>34.1612890583434</v>
      </c>
      <c r="L7" s="1">
        <v>9.43625465650401</v>
      </c>
      <c r="M7" s="1">
        <v>0.0299397205569757</v>
      </c>
      <c r="N7" s="1">
        <v>0.029963425157226</v>
      </c>
      <c r="O7" s="1">
        <v>0.0283167671484146</v>
      </c>
      <c r="P7" s="1">
        <v>0.474824242069202</v>
      </c>
      <c r="S7" s="2">
        <v>38.6215545661052</v>
      </c>
      <c r="T7" s="2">
        <v>10.6615063657878</v>
      </c>
      <c r="U7" s="2">
        <v>0.0299396300801327</v>
      </c>
      <c r="V7" s="2">
        <v>0.0299633702111772</v>
      </c>
      <c r="W7" s="2">
        <v>0.0278384856320995</v>
      </c>
      <c r="X7" s="2">
        <v>0.406685513213761</v>
      </c>
      <c r="AA7" s="1">
        <v>14.0245725089902</v>
      </c>
      <c r="AB7" s="1">
        <v>3.92243587223611</v>
      </c>
      <c r="AC7" s="1">
        <v>0.029940080600791</v>
      </c>
      <c r="AD7" s="1">
        <v>0.0299636436644575</v>
      </c>
      <c r="AE7" s="1">
        <v>0.0294585622155555</v>
      </c>
      <c r="AF7" s="1">
        <v>0.782458191440749</v>
      </c>
    </row>
    <row r="8" spans="2:32">
      <c r="B8" s="1">
        <v>2023</v>
      </c>
      <c r="C8">
        <v>456.627592718872</v>
      </c>
      <c r="F8">
        <v>525.47330684116</v>
      </c>
      <c r="H8">
        <v>125.237765938269</v>
      </c>
      <c r="I8" s="1">
        <v>2023</v>
      </c>
      <c r="K8" s="1">
        <v>34.0540539316341</v>
      </c>
      <c r="L8" s="1">
        <v>9.44262399810528</v>
      </c>
      <c r="M8" s="1">
        <v>0.0398261583927485</v>
      </c>
      <c r="N8" s="1">
        <v>0.0398944374630614</v>
      </c>
      <c r="O8" s="1">
        <v>0.036671505208373</v>
      </c>
      <c r="P8" s="1">
        <v>0.486139316201622</v>
      </c>
      <c r="S8" s="2">
        <v>39.4406669938348</v>
      </c>
      <c r="T8" s="2">
        <v>10.9240417299875</v>
      </c>
      <c r="U8" s="2">
        <v>0.0398262007056293</v>
      </c>
      <c r="V8" s="2">
        <v>0.0398944630217781</v>
      </c>
      <c r="W8" s="2">
        <v>0.0356282472949674</v>
      </c>
      <c r="X8" s="2">
        <v>0.405901853791376</v>
      </c>
      <c r="AA8" s="1">
        <v>8.60851900563579</v>
      </c>
      <c r="AB8" s="1">
        <v>2.47267642252417</v>
      </c>
      <c r="AC8" s="1">
        <v>0.0398274078327836</v>
      </c>
      <c r="AD8" s="1">
        <v>0.039895196913746</v>
      </c>
      <c r="AE8" s="1">
        <v>0.0391497959911461</v>
      </c>
      <c r="AF8" s="1">
        <v>0.866607854966163</v>
      </c>
    </row>
    <row r="9" spans="2:32">
      <c r="B9" s="1">
        <v>2024</v>
      </c>
      <c r="C9">
        <v>456.86863330214</v>
      </c>
      <c r="F9">
        <v>537.075908280264</v>
      </c>
      <c r="H9">
        <v>83.5547159345447</v>
      </c>
      <c r="I9" s="1">
        <v>2024</v>
      </c>
      <c r="K9" s="1">
        <v>33.8274138243156</v>
      </c>
      <c r="L9" s="1">
        <v>9.41457097354376</v>
      </c>
      <c r="M9" s="1">
        <v>0.0496173637818162</v>
      </c>
      <c r="N9" s="1">
        <v>0.0497673644277737</v>
      </c>
      <c r="O9" s="1">
        <v>0.044536434888379</v>
      </c>
      <c r="P9" s="1">
        <v>0.497458559373815</v>
      </c>
      <c r="S9" s="2">
        <v>40.0831827546027</v>
      </c>
      <c r="T9" s="2">
        <v>11.1362913155992</v>
      </c>
      <c r="U9" s="2">
        <v>0.0496174734016583</v>
      </c>
      <c r="V9" s="2">
        <v>0.0497674310548892</v>
      </c>
      <c r="W9" s="2">
        <v>0.0426727819366615</v>
      </c>
      <c r="X9" s="2">
        <v>0.405907615273947</v>
      </c>
      <c r="AA9" s="1">
        <v>5.81109879934629</v>
      </c>
      <c r="AB9" s="1">
        <v>1.73795240659326</v>
      </c>
      <c r="AC9" s="1">
        <v>0.0496218379132687</v>
      </c>
      <c r="AD9" s="1">
        <v>0.0497700895073503</v>
      </c>
      <c r="AE9" s="1">
        <v>0.0488241789268812</v>
      </c>
      <c r="AF9" s="1">
        <v>0.908942733090548</v>
      </c>
    </row>
    <row r="10" spans="2:32">
      <c r="B10" s="1">
        <v>2025</v>
      </c>
      <c r="C10">
        <v>455.344510030432</v>
      </c>
      <c r="F10">
        <v>546.74868513365</v>
      </c>
      <c r="H10">
        <v>59.3268473329438</v>
      </c>
      <c r="I10" s="1">
        <v>2025</v>
      </c>
      <c r="K10" s="1">
        <v>33.5852028838382</v>
      </c>
      <c r="L10" s="1">
        <v>9.38073668874397</v>
      </c>
      <c r="M10" s="1">
        <v>0.0592823430814366</v>
      </c>
      <c r="N10" s="1">
        <v>0.0595629404122024</v>
      </c>
      <c r="O10" s="1">
        <v>0.051950394928576</v>
      </c>
      <c r="P10" s="1">
        <v>0.507870570771001</v>
      </c>
      <c r="S10" s="2">
        <v>40.582855277359</v>
      </c>
      <c r="T10" s="2">
        <v>11.3074504529402</v>
      </c>
      <c r="U10" s="2">
        <v>0.0592808092309857</v>
      </c>
      <c r="V10" s="2">
        <v>0.0595620045749128</v>
      </c>
      <c r="W10" s="2">
        <v>0.0489980890685354</v>
      </c>
      <c r="X10" s="2">
        <v>0.406433589708851</v>
      </c>
      <c r="AA10" s="1">
        <v>3.87696670669582</v>
      </c>
      <c r="AB10" s="1">
        <v>1.23862324143404</v>
      </c>
      <c r="AC10" s="1">
        <v>0.0592928695207215</v>
      </c>
      <c r="AD10" s="1">
        <v>0.0595693726321167</v>
      </c>
      <c r="AE10" s="1">
        <v>0.0584814535950614</v>
      </c>
      <c r="AF10" s="1">
        <v>0.937106024128935</v>
      </c>
    </row>
    <row r="11" spans="2:32">
      <c r="B11" s="1">
        <v>2026</v>
      </c>
      <c r="C11">
        <v>449.896603129348</v>
      </c>
      <c r="F11">
        <v>555.948951070756</v>
      </c>
      <c r="H11">
        <v>45.3879057637571</v>
      </c>
      <c r="I11" s="1">
        <v>2026</v>
      </c>
      <c r="K11" s="1">
        <v>32.7967375917737</v>
      </c>
      <c r="L11" s="1">
        <v>9.19524613925682</v>
      </c>
      <c r="M11" s="1">
        <v>0.0687852983774316</v>
      </c>
      <c r="N11" s="1">
        <v>0.0692586259301312</v>
      </c>
      <c r="O11" s="1">
        <v>0.0589976243209863</v>
      </c>
      <c r="P11" s="1">
        <v>0.523783532962283</v>
      </c>
      <c r="S11" s="2">
        <v>41.0947865420853</v>
      </c>
      <c r="T11" s="2">
        <v>11.480165060652</v>
      </c>
      <c r="U11" s="2">
        <v>0.0687853008644404</v>
      </c>
      <c r="V11" s="2">
        <v>0.0692586246074717</v>
      </c>
      <c r="W11" s="2">
        <v>0.0546507221120499</v>
      </c>
      <c r="X11" s="2">
        <v>0.406469894882094</v>
      </c>
      <c r="AA11" s="1">
        <v>2.51455375785047</v>
      </c>
      <c r="AB11" s="1">
        <v>0.895110631921782</v>
      </c>
      <c r="AC11" s="1">
        <v>0.0688083644336766</v>
      </c>
      <c r="AD11" s="1">
        <v>0.0692727764492392</v>
      </c>
      <c r="AE11" s="1">
        <v>0.0681177642499839</v>
      </c>
      <c r="AF11" s="1">
        <v>0.956144777132186</v>
      </c>
    </row>
    <row r="12" spans="2:32">
      <c r="B12" s="1">
        <v>2027</v>
      </c>
      <c r="C12">
        <v>443.496292504415</v>
      </c>
      <c r="F12">
        <v>562.247118160435</v>
      </c>
      <c r="H12">
        <v>37.6266856360448</v>
      </c>
      <c r="I12" s="1">
        <v>2027</v>
      </c>
      <c r="K12" s="1">
        <v>32.2502030105684</v>
      </c>
      <c r="L12" s="1">
        <v>9.07571665662636</v>
      </c>
      <c r="M12" s="1">
        <v>0.078781454681519</v>
      </c>
      <c r="N12" s="1">
        <v>0.0788349661197427</v>
      </c>
      <c r="O12" s="1">
        <v>0.0657005130480633</v>
      </c>
      <c r="P12" s="1">
        <v>0.535935553343027</v>
      </c>
      <c r="S12" s="2">
        <v>41.3508324769272</v>
      </c>
      <c r="T12" s="2">
        <v>11.5814713774247</v>
      </c>
      <c r="U12" s="2">
        <v>0.0788212862293769</v>
      </c>
      <c r="V12" s="2">
        <v>0.078833276827956</v>
      </c>
      <c r="W12" s="2">
        <v>0.0596626004441582</v>
      </c>
      <c r="X12" s="2">
        <v>0.407762467102337</v>
      </c>
      <c r="AA12" s="1">
        <v>1.96169353548043</v>
      </c>
      <c r="AB12" s="1">
        <v>0.773030493903699</v>
      </c>
      <c r="AC12" s="1">
        <v>0.0784988370020396</v>
      </c>
      <c r="AD12" s="1">
        <v>0.0788620343225272</v>
      </c>
      <c r="AE12" s="1">
        <v>0.0777034051649057</v>
      </c>
      <c r="AF12" s="1">
        <v>0.963317562856757</v>
      </c>
    </row>
    <row r="13" spans="2:32">
      <c r="B13" s="1">
        <v>2028</v>
      </c>
      <c r="C13">
        <v>434.831089027904</v>
      </c>
      <c r="F13">
        <v>566.375646779139</v>
      </c>
      <c r="H13">
        <v>31.7798515626564</v>
      </c>
      <c r="I13" s="1">
        <v>2028</v>
      </c>
      <c r="K13" s="1">
        <v>31.6075239437583</v>
      </c>
      <c r="L13" s="1">
        <v>8.93037554708042</v>
      </c>
      <c r="M13" s="1">
        <v>0.0903817541613501</v>
      </c>
      <c r="N13" s="1">
        <v>0.0882710393673052</v>
      </c>
      <c r="O13" s="1">
        <v>0.0721060467205281</v>
      </c>
      <c r="P13" s="1">
        <v>0.548381033782292</v>
      </c>
      <c r="S13" s="2">
        <v>41.4272676995836</v>
      </c>
      <c r="T13" s="2">
        <v>11.6335811581032</v>
      </c>
      <c r="U13" s="2">
        <v>0.0905997682303743</v>
      </c>
      <c r="V13" s="2">
        <v>0.0882609791408548</v>
      </c>
      <c r="W13" s="2">
        <v>0.0640747161866901</v>
      </c>
      <c r="X13" s="2">
        <v>0.409751236247151</v>
      </c>
      <c r="AA13" s="1">
        <v>1.3001335120996</v>
      </c>
      <c r="AB13" s="1">
        <v>0.62237074106922</v>
      </c>
      <c r="AC13" s="1">
        <v>0.0896775819522049</v>
      </c>
      <c r="AD13" s="1">
        <v>0.0883164256847349</v>
      </c>
      <c r="AE13" s="1">
        <v>0.0872514490203284</v>
      </c>
      <c r="AF13" s="1">
        <v>0.971675246314783</v>
      </c>
    </row>
    <row r="14" spans="2:32">
      <c r="B14" s="1">
        <v>2029</v>
      </c>
      <c r="C14">
        <v>422.525206475389</v>
      </c>
      <c r="F14">
        <v>570.427898379117</v>
      </c>
      <c r="H14">
        <v>27.8924904150016</v>
      </c>
      <c r="I14" s="1">
        <v>2029</v>
      </c>
      <c r="K14" s="1">
        <v>30.479566495197</v>
      </c>
      <c r="L14" s="1">
        <v>8.65245037023941</v>
      </c>
      <c r="M14" s="1">
        <v>0.103889100783053</v>
      </c>
      <c r="N14" s="1">
        <v>0.0975422173783238</v>
      </c>
      <c r="O14" s="1">
        <v>0.0783080215531235</v>
      </c>
      <c r="P14" s="1">
        <v>0.565768492628112</v>
      </c>
      <c r="S14" s="2">
        <v>41.5387654779333</v>
      </c>
      <c r="T14" s="2">
        <v>11.6958845153362</v>
      </c>
      <c r="U14" s="2">
        <v>0.104339576827648</v>
      </c>
      <c r="V14" s="2">
        <v>0.0975214027898037</v>
      </c>
      <c r="W14" s="2">
        <v>0.0679469657279173</v>
      </c>
      <c r="X14" s="2">
        <v>0.411128744305713</v>
      </c>
      <c r="AA14" s="1">
        <v>1.04159556006579</v>
      </c>
      <c r="AB14" s="1">
        <v>0.583470573411094</v>
      </c>
      <c r="AC14" s="1">
        <v>0.102483712679325</v>
      </c>
      <c r="AD14" s="1">
        <v>0.0976197972809349</v>
      </c>
      <c r="AE14" s="1">
        <v>0.0967391305803992</v>
      </c>
      <c r="AF14" s="1">
        <v>0.974254469970631</v>
      </c>
    </row>
    <row r="15" spans="2:32">
      <c r="B15" s="1">
        <v>2030</v>
      </c>
      <c r="C15">
        <v>407.341392052114</v>
      </c>
      <c r="F15">
        <v>572.512469855471</v>
      </c>
      <c r="H15">
        <v>23.5038162104063</v>
      </c>
      <c r="I15" s="1">
        <v>2030</v>
      </c>
      <c r="K15" s="1">
        <v>29.0522326404464</v>
      </c>
      <c r="L15" s="1">
        <v>8.29356760017022</v>
      </c>
      <c r="M15" s="1">
        <v>0.119613305392969</v>
      </c>
      <c r="N15" s="1">
        <v>0.106624833445628</v>
      </c>
      <c r="O15" s="1">
        <v>0.0843835366857935</v>
      </c>
      <c r="P15" s="1">
        <v>0.586024103210097</v>
      </c>
      <c r="S15" s="2">
        <v>41.4803547208493</v>
      </c>
      <c r="T15" s="2">
        <v>11.7133108496706</v>
      </c>
      <c r="U15" s="2">
        <v>0.120390919119994</v>
      </c>
      <c r="V15" s="2">
        <v>0.106683825027887</v>
      </c>
      <c r="W15" s="2">
        <v>0.0716475041447474</v>
      </c>
      <c r="X15" s="2">
        <v>0.413163256591288</v>
      </c>
      <c r="AA15" s="1">
        <v>0.575880107511899</v>
      </c>
      <c r="AB15" s="1">
        <v>0.489359179965425</v>
      </c>
      <c r="AC15" s="1">
        <v>0.117139103403812</v>
      </c>
      <c r="AD15" s="1">
        <v>0.106752924433304</v>
      </c>
      <c r="AE15" s="1">
        <v>0.106185400336405</v>
      </c>
      <c r="AF15" s="1">
        <v>0.979489324109089</v>
      </c>
    </row>
    <row r="16" spans="2:32">
      <c r="B16" s="1">
        <v>2031</v>
      </c>
      <c r="C16">
        <v>403.891879145219</v>
      </c>
      <c r="F16">
        <v>585.642395234101</v>
      </c>
      <c r="H16">
        <v>31.3249922688514</v>
      </c>
      <c r="I16" s="1">
        <v>2031</v>
      </c>
      <c r="K16" s="1">
        <v>28.7708124646233</v>
      </c>
      <c r="L16" s="1">
        <v>8.2520601325257</v>
      </c>
      <c r="M16" s="1">
        <v>0.137797150920192</v>
      </c>
      <c r="N16" s="1">
        <v>0.116588291005329</v>
      </c>
      <c r="O16" s="1">
        <v>0.0902515177373138</v>
      </c>
      <c r="P16" s="1">
        <v>0.59733822588591</v>
      </c>
      <c r="S16" s="2">
        <v>42.2147081568283</v>
      </c>
      <c r="T16" s="2">
        <v>11.9524594789986</v>
      </c>
      <c r="U16" s="2">
        <v>0.139153013245526</v>
      </c>
      <c r="V16" s="2">
        <v>0.116911002616085</v>
      </c>
      <c r="W16" s="2">
        <v>0.0756878608184262</v>
      </c>
      <c r="X16" s="2">
        <v>0.412933185196826</v>
      </c>
      <c r="AA16" s="1">
        <v>1.10832297380091</v>
      </c>
      <c r="AB16" s="1">
        <v>0.67112722039234</v>
      </c>
      <c r="AC16" s="1">
        <v>0.133853653554651</v>
      </c>
      <c r="AD16" s="1">
        <v>0.116090810361537</v>
      </c>
      <c r="AE16" s="1">
        <v>0.115508323035795</v>
      </c>
      <c r="AF16" s="1">
        <v>0.971369525119064</v>
      </c>
    </row>
    <row r="17" spans="2:32">
      <c r="B17" s="1">
        <v>2032</v>
      </c>
      <c r="C17">
        <v>395.356958039935</v>
      </c>
      <c r="F17">
        <v>599.091769765784</v>
      </c>
      <c r="H17">
        <v>32.5548758731052</v>
      </c>
      <c r="I17" s="1">
        <v>2032</v>
      </c>
      <c r="K17" s="1">
        <v>27.7472367968106</v>
      </c>
      <c r="L17" s="1">
        <v>8.00982888555271</v>
      </c>
      <c r="M17" s="1">
        <v>0.158856047844571</v>
      </c>
      <c r="N17" s="1">
        <v>0.127637378199763</v>
      </c>
      <c r="O17" s="1">
        <v>0.0960426383763563</v>
      </c>
      <c r="P17" s="1">
        <v>0.61602422711942</v>
      </c>
      <c r="S17" s="2">
        <v>43.0138426828348</v>
      </c>
      <c r="T17" s="2">
        <v>12.2144883846566</v>
      </c>
      <c r="U17" s="2">
        <v>0.160848168496203</v>
      </c>
      <c r="V17" s="2">
        <v>0.128226682874805</v>
      </c>
      <c r="W17" s="2">
        <v>0.0800553752719763</v>
      </c>
      <c r="X17" s="2">
        <v>0.411880520866505</v>
      </c>
      <c r="AA17" s="1">
        <v>1.07515535539948</v>
      </c>
      <c r="AB17" s="1">
        <v>0.700798167807521</v>
      </c>
      <c r="AC17" s="1">
        <v>0.152817527478057</v>
      </c>
      <c r="AD17" s="1">
        <v>0.12625289590954</v>
      </c>
      <c r="AE17" s="1">
        <v>0.124755765657328</v>
      </c>
      <c r="AF17" s="1">
        <v>0.970835119073656</v>
      </c>
    </row>
    <row r="18" spans="2:32">
      <c r="B18" s="1">
        <v>2033</v>
      </c>
      <c r="C18">
        <v>385.137994689062</v>
      </c>
      <c r="F18">
        <v>609.785542819538</v>
      </c>
      <c r="H18">
        <v>31.4995663041607</v>
      </c>
      <c r="I18" s="1">
        <v>2033</v>
      </c>
      <c r="K18" s="1">
        <v>26.9753762611613</v>
      </c>
      <c r="L18" s="1">
        <v>7.84116601880042</v>
      </c>
      <c r="M18" s="1">
        <v>0.183021193152817</v>
      </c>
      <c r="N18" s="1">
        <v>0.13981206311611</v>
      </c>
      <c r="O18" s="1">
        <v>0.101770805210982</v>
      </c>
      <c r="P18" s="1">
        <v>0.63050348108151</v>
      </c>
      <c r="S18" s="2">
        <v>43.5646653450105</v>
      </c>
      <c r="T18" s="2">
        <v>12.4138727886816</v>
      </c>
      <c r="U18" s="2">
        <v>0.185905806635776</v>
      </c>
      <c r="V18" s="2">
        <v>0.140771607706383</v>
      </c>
      <c r="W18" s="2">
        <v>0.084793862507568</v>
      </c>
      <c r="X18" s="2">
        <v>0.411774592501512</v>
      </c>
      <c r="AA18" s="1">
        <v>0.634056742355707</v>
      </c>
      <c r="AB18" s="1">
        <v>0.62184190175273</v>
      </c>
      <c r="AC18" s="1">
        <v>0.174258246445581</v>
      </c>
      <c r="AD18" s="1">
        <v>0.137303687772557</v>
      </c>
      <c r="AE18" s="1">
        <v>0.133969558792371</v>
      </c>
      <c r="AF18" s="1">
        <v>0.97534976702937</v>
      </c>
    </row>
    <row r="19" spans="2:32">
      <c r="B19" s="1">
        <v>2034</v>
      </c>
      <c r="C19">
        <v>369.918390780655</v>
      </c>
      <c r="F19">
        <v>617.171442784209</v>
      </c>
      <c r="H19">
        <v>30.0527516036101</v>
      </c>
      <c r="I19" s="1">
        <v>2034</v>
      </c>
      <c r="K19" s="1">
        <v>25.3905573204699</v>
      </c>
      <c r="L19" s="1">
        <v>7.45403906576722</v>
      </c>
      <c r="M19" s="1">
        <v>0.210722857901148</v>
      </c>
      <c r="N19" s="1">
        <v>0.153265337461104</v>
      </c>
      <c r="O19" s="1">
        <v>0.108007575790839</v>
      </c>
      <c r="P19" s="1">
        <v>0.653192272671738</v>
      </c>
      <c r="S19" s="2">
        <v>43.810596354262</v>
      </c>
      <c r="T19" s="2">
        <v>12.535812502247</v>
      </c>
      <c r="U19" s="2">
        <v>0.214830640990245</v>
      </c>
      <c r="V19" s="2">
        <v>0.154726550399406</v>
      </c>
      <c r="W19" s="2">
        <v>0.0899634563036391</v>
      </c>
      <c r="X19" s="2">
        <v>0.412845234894316</v>
      </c>
      <c r="AA19" s="1">
        <v>0.354615272651781</v>
      </c>
      <c r="AB19" s="1">
        <v>0.590742501604132</v>
      </c>
      <c r="AC19" s="1">
        <v>0.198323432321344</v>
      </c>
      <c r="AD19" s="1">
        <v>0.149273481862936</v>
      </c>
      <c r="AE19" s="1">
        <v>0.143133486713</v>
      </c>
      <c r="AF19" s="1">
        <v>0.977471884104334</v>
      </c>
    </row>
    <row r="20" spans="2:32">
      <c r="B20" s="1">
        <v>2035</v>
      </c>
      <c r="C20">
        <v>352.762202481707</v>
      </c>
      <c r="F20">
        <v>625.218859861492</v>
      </c>
      <c r="H20">
        <v>27.4811059463217</v>
      </c>
      <c r="I20" s="1">
        <v>2035</v>
      </c>
      <c r="K20" s="1">
        <v>23.9723514920762</v>
      </c>
      <c r="L20" s="1">
        <v>7.11867614420465</v>
      </c>
      <c r="M20" s="1">
        <v>0.242151543743491</v>
      </c>
      <c r="N20" s="1">
        <v>0.16804781017205</v>
      </c>
      <c r="O20" s="1">
        <v>0.114765518806948</v>
      </c>
      <c r="P20" s="1">
        <v>0.672863921509787</v>
      </c>
      <c r="S20" s="2">
        <v>44.1375817126225</v>
      </c>
      <c r="T20" s="2">
        <v>12.6867699661129</v>
      </c>
      <c r="U20" s="2">
        <v>0.247779175273275</v>
      </c>
      <c r="V20" s="2">
        <v>0.170121073171459</v>
      </c>
      <c r="W20" s="2">
        <v>0.0955588654183672</v>
      </c>
      <c r="X20" s="2">
        <v>0.41305349458144</v>
      </c>
      <c r="AA20" s="1">
        <v>0.159132939239426</v>
      </c>
      <c r="AB20" s="1">
        <v>0.586323731842731</v>
      </c>
      <c r="AC20" s="1">
        <v>0.225120097533751</v>
      </c>
      <c r="AD20" s="1">
        <v>0.162188203214767</v>
      </c>
      <c r="AE20" s="1">
        <v>0.152237397998301</v>
      </c>
      <c r="AF20" s="1">
        <v>0.978291752822266</v>
      </c>
    </row>
    <row r="21" spans="2:32">
      <c r="B21" s="1">
        <v>2036</v>
      </c>
      <c r="C21">
        <v>332.106677940744</v>
      </c>
      <c r="F21">
        <v>629.808521033393</v>
      </c>
      <c r="H21">
        <v>23.7566352781445</v>
      </c>
      <c r="I21" s="1">
        <v>2036</v>
      </c>
      <c r="K21" s="1">
        <v>22.193319556457</v>
      </c>
      <c r="L21" s="1">
        <v>6.69000968650179</v>
      </c>
      <c r="M21" s="1">
        <v>0.277529435892326</v>
      </c>
      <c r="N21" s="1">
        <v>0.184259968548144</v>
      </c>
      <c r="O21" s="1">
        <v>0.122093451024767</v>
      </c>
      <c r="P21" s="1">
        <v>0.695701996940823</v>
      </c>
      <c r="S21" s="2">
        <v>44.1394550845171</v>
      </c>
      <c r="T21" s="2">
        <v>12.7556127694123</v>
      </c>
      <c r="U21" s="2">
        <v>0.285188712686588</v>
      </c>
      <c r="V21" s="2">
        <v>0.187157501582094</v>
      </c>
      <c r="W21" s="2">
        <v>0.101653388859429</v>
      </c>
      <c r="X21" s="2">
        <v>0.41451698451832</v>
      </c>
      <c r="AA21" s="1">
        <v>-0.480730285133091</v>
      </c>
      <c r="AB21" s="1">
        <v>0.463675517112487</v>
      </c>
      <c r="AC21" s="1">
        <v>0.254781894508934</v>
      </c>
      <c r="AD21" s="1">
        <v>0.176106828875579</v>
      </c>
      <c r="AE21" s="1">
        <v>0.161336933150669</v>
      </c>
      <c r="AF21" s="1">
        <v>0.98439171831365</v>
      </c>
    </row>
    <row r="22" spans="2:32">
      <c r="B22" s="1">
        <v>2037</v>
      </c>
      <c r="C22">
        <v>308.898060576113</v>
      </c>
      <c r="F22">
        <v>632.186705840177</v>
      </c>
      <c r="H22">
        <v>21.5524139343145</v>
      </c>
      <c r="I22" s="1">
        <v>2037</v>
      </c>
      <c r="K22" s="1">
        <v>20.2804071296442</v>
      </c>
      <c r="L22" s="1">
        <v>6.23072459193657</v>
      </c>
      <c r="M22" s="1">
        <v>0.316922193911031</v>
      </c>
      <c r="N22" s="1">
        <v>0.201974684947309</v>
      </c>
      <c r="O22" s="1">
        <v>0.130030624776398</v>
      </c>
      <c r="P22" s="1">
        <v>0.719165755538047</v>
      </c>
      <c r="S22" s="2">
        <v>43.9360684665038</v>
      </c>
      <c r="T22" s="2">
        <v>12.7758558219458</v>
      </c>
      <c r="U22" s="2">
        <v>0.327309748175829</v>
      </c>
      <c r="V22" s="2">
        <v>0.205999518192703</v>
      </c>
      <c r="W22" s="2">
        <v>0.10830639982608</v>
      </c>
      <c r="X22" s="2">
        <v>0.416591230853194</v>
      </c>
      <c r="AA22" s="1">
        <v>-0.719416128154749</v>
      </c>
      <c r="AB22" s="1">
        <v>0.455188766187895</v>
      </c>
      <c r="AC22" s="1">
        <v>0.287279922580352</v>
      </c>
      <c r="AD22" s="1">
        <v>0.191036268934745</v>
      </c>
      <c r="AE22" s="1">
        <v>0.170521738088227</v>
      </c>
      <c r="AF22" s="1">
        <v>0.985236423285585</v>
      </c>
    </row>
    <row r="23" spans="2:32">
      <c r="B23" s="1">
        <v>2038</v>
      </c>
      <c r="C23">
        <v>283.17054411882</v>
      </c>
      <c r="F23">
        <v>636.146274902237</v>
      </c>
      <c r="H23">
        <v>18.3674634541824</v>
      </c>
      <c r="I23" s="1">
        <v>2038</v>
      </c>
      <c r="K23" s="1">
        <v>18.1186174824522</v>
      </c>
      <c r="L23" s="1">
        <v>5.70913384317646</v>
      </c>
      <c r="M23" s="1">
        <v>0.360268862005566</v>
      </c>
      <c r="N23" s="1">
        <v>0.221267172783955</v>
      </c>
      <c r="O23" s="1">
        <v>0.13862728029685</v>
      </c>
      <c r="P23" s="1">
        <v>0.744680677980855</v>
      </c>
      <c r="S23" s="2">
        <v>43.8871553175386</v>
      </c>
      <c r="T23" s="2">
        <v>12.8463252656166</v>
      </c>
      <c r="U23" s="2">
        <v>0.373813557157309</v>
      </c>
      <c r="V23" s="2">
        <v>0.226626492684418</v>
      </c>
      <c r="W23" s="2">
        <v>0.115508726469661</v>
      </c>
      <c r="X23" s="2">
        <v>0.417509914638882</v>
      </c>
      <c r="AA23" s="1">
        <v>-1.19985804678384</v>
      </c>
      <c r="AB23" s="1">
        <v>0.384629891879851</v>
      </c>
      <c r="AC23" s="1">
        <v>0.322562278329083</v>
      </c>
      <c r="AD23" s="1">
        <v>0.207005069473648</v>
      </c>
      <c r="AE23" s="1">
        <v>0.180260384214104</v>
      </c>
      <c r="AF23" s="1">
        <v>0.988830438393457</v>
      </c>
    </row>
    <row r="24" spans="2:32">
      <c r="B24" s="1">
        <v>2039</v>
      </c>
      <c r="C24">
        <v>255.692855654222</v>
      </c>
      <c r="F24">
        <v>636.283509129165</v>
      </c>
      <c r="H24">
        <v>15.5599992303299</v>
      </c>
      <c r="I24" s="1">
        <v>2039</v>
      </c>
      <c r="K24" s="1">
        <v>15.8256275091346</v>
      </c>
      <c r="L24" s="1">
        <v>5.15743414984924</v>
      </c>
      <c r="M24" s="1">
        <v>0.407293917532381</v>
      </c>
      <c r="N24" s="1">
        <v>0.24218815919567</v>
      </c>
      <c r="O24" s="1">
        <v>0.147931284984991</v>
      </c>
      <c r="P24" s="1">
        <v>0.770990065017392</v>
      </c>
      <c r="S24" s="2">
        <v>43.4764538469538</v>
      </c>
      <c r="T24" s="2">
        <v>12.8249998499929</v>
      </c>
      <c r="U24" s="2">
        <v>0.424706234519955</v>
      </c>
      <c r="V24" s="2">
        <v>0.249262011145592</v>
      </c>
      <c r="W24" s="2">
        <v>0.123361351346988</v>
      </c>
      <c r="X24" s="2">
        <v>0.419857889236299</v>
      </c>
      <c r="AA24" s="1">
        <v>-1.66585175310085</v>
      </c>
      <c r="AB24" s="1">
        <v>0.322269510309097</v>
      </c>
      <c r="AC24" s="1">
        <v>0.360460257148232</v>
      </c>
      <c r="AD24" s="1">
        <v>0.224023616969635</v>
      </c>
      <c r="AE24" s="1">
        <v>0.19057504081782</v>
      </c>
      <c r="AF24" s="1">
        <v>0.992015980358235</v>
      </c>
    </row>
    <row r="25" spans="2:32">
      <c r="B25" s="1">
        <v>2040</v>
      </c>
      <c r="C25">
        <v>226.952246891671</v>
      </c>
      <c r="F25">
        <v>635.814847557602</v>
      </c>
      <c r="H25">
        <v>13.0055531054592</v>
      </c>
      <c r="I25" s="1">
        <v>2040</v>
      </c>
      <c r="K25" s="1">
        <v>13.4017593592596</v>
      </c>
      <c r="L25" s="1">
        <v>4.57523524673467</v>
      </c>
      <c r="M25" s="1">
        <v>0.457503283172609</v>
      </c>
      <c r="N25" s="1">
        <v>0.264770137438819</v>
      </c>
      <c r="O25" s="1">
        <v>0.157994830755679</v>
      </c>
      <c r="P25" s="1">
        <v>0.798209495360791</v>
      </c>
      <c r="S25" s="2">
        <v>43.0091689664504</v>
      </c>
      <c r="T25" s="2">
        <v>12.7955984786984</v>
      </c>
      <c r="U25" s="2">
        <v>0.479381334729484</v>
      </c>
      <c r="V25" s="2">
        <v>0.273965687868028</v>
      </c>
      <c r="W25" s="2">
        <v>0.13191036118048</v>
      </c>
      <c r="X25" s="2">
        <v>0.422142737359731</v>
      </c>
      <c r="AA25" s="1">
        <v>-2.1290495252282</v>
      </c>
      <c r="AB25" s="1">
        <v>0.264641012682355</v>
      </c>
      <c r="AC25" s="1">
        <v>0.400694692828266</v>
      </c>
      <c r="AD25" s="1">
        <v>0.242090111372565</v>
      </c>
      <c r="AE25" s="1">
        <v>0.201487415503393</v>
      </c>
      <c r="AF25" s="1">
        <v>0.994969713995993</v>
      </c>
    </row>
    <row r="26" spans="2:32">
      <c r="B26" s="1">
        <v>2041</v>
      </c>
      <c r="C26">
        <v>226.921108014888</v>
      </c>
      <c r="F26">
        <v>664.196840210574</v>
      </c>
      <c r="H26">
        <v>39.0821199874636</v>
      </c>
      <c r="I26" s="1">
        <v>2041</v>
      </c>
      <c r="K26" s="1">
        <v>13.0875149566063</v>
      </c>
      <c r="L26" s="1">
        <v>4.57806511484547</v>
      </c>
      <c r="M26" s="1">
        <v>0.510161318978866</v>
      </c>
      <c r="N26" s="1">
        <v>0.289015585888786</v>
      </c>
      <c r="O26" s="1">
        <v>0.168849850769898</v>
      </c>
      <c r="P26" s="1">
        <v>0.805712242408488</v>
      </c>
      <c r="S26" s="2">
        <v>44.6467282856383</v>
      </c>
      <c r="T26" s="2">
        <v>13.3512859233288</v>
      </c>
      <c r="U26" s="2">
        <v>0.536881485119909</v>
      </c>
      <c r="V26" s="2">
        <v>0.300752172002303</v>
      </c>
      <c r="W26" s="2">
        <v>0.1411849325606</v>
      </c>
      <c r="X26" s="2">
        <v>0.41860873703048</v>
      </c>
      <c r="AA26" s="1">
        <v>-0.34596958682486</v>
      </c>
      <c r="AB26" s="1">
        <v>0.828964835410565</v>
      </c>
      <c r="AC26" s="1">
        <v>0.442874908261563</v>
      </c>
      <c r="AD26" s="1">
        <v>0.261189390738448</v>
      </c>
      <c r="AE26" s="1">
        <v>0.212992222616698</v>
      </c>
      <c r="AF26" s="1">
        <v>0.971432211056096</v>
      </c>
    </row>
    <row r="27" spans="2:32">
      <c r="B27" s="1">
        <v>2042</v>
      </c>
      <c r="C27">
        <v>208.116789435444</v>
      </c>
      <c r="F27">
        <v>673.524296124377</v>
      </c>
      <c r="H27">
        <v>33.8842247018972</v>
      </c>
      <c r="I27" s="1">
        <v>2042</v>
      </c>
      <c r="K27" s="1">
        <v>11.1656955107708</v>
      </c>
      <c r="L27" s="1">
        <v>4.14265118220833</v>
      </c>
      <c r="M27" s="1">
        <v>0.564359776952903</v>
      </c>
      <c r="N27" s="1">
        <v>0.314914621380947</v>
      </c>
      <c r="O27" s="1">
        <v>0.180573637741081</v>
      </c>
      <c r="P27" s="1">
        <v>0.827609141284574</v>
      </c>
      <c r="S27" s="2">
        <v>44.8325357222858</v>
      </c>
      <c r="T27" s="2">
        <v>13.5138986738131</v>
      </c>
      <c r="U27" s="2">
        <v>0.596239264890652</v>
      </c>
      <c r="V27" s="2">
        <v>0.329733757710598</v>
      </c>
      <c r="W27" s="2">
        <v>0.151295544766208</v>
      </c>
      <c r="X27" s="2">
        <v>0.419251681579807</v>
      </c>
      <c r="AA27" s="1">
        <v>-1.19787952872529</v>
      </c>
      <c r="AB27" s="1">
        <v>0.671100512647664</v>
      </c>
      <c r="AC27" s="1">
        <v>0.486512474590679</v>
      </c>
      <c r="AD27" s="1">
        <v>0.281294328013613</v>
      </c>
      <c r="AE27" s="1">
        <v>0.225142507706415</v>
      </c>
      <c r="AF27" s="1">
        <v>0.978931002543886</v>
      </c>
    </row>
    <row r="28" spans="2:32">
      <c r="B28" s="1">
        <v>2043</v>
      </c>
      <c r="C28">
        <v>189.638946883549</v>
      </c>
      <c r="F28">
        <v>683.226032328671</v>
      </c>
      <c r="H28">
        <v>31.5334624802205</v>
      </c>
      <c r="I28" s="1">
        <v>2043</v>
      </c>
      <c r="K28" s="1">
        <v>9.45524724331346</v>
      </c>
      <c r="L28" s="1">
        <v>3.76833721211456</v>
      </c>
      <c r="M28" s="1">
        <v>0.61894708251273</v>
      </c>
      <c r="N28" s="1">
        <v>0.342383007028605</v>
      </c>
      <c r="O28" s="1">
        <v>0.193208733193348</v>
      </c>
      <c r="P28" s="1">
        <v>0.846280840881612</v>
      </c>
      <c r="S28" s="2">
        <v>45.0577906899274</v>
      </c>
      <c r="T28" s="2">
        <v>13.6920419293397</v>
      </c>
      <c r="U28" s="2">
        <v>0.655889439796132</v>
      </c>
      <c r="V28" s="2">
        <v>0.36081066637322</v>
      </c>
      <c r="W28" s="2">
        <v>0.162282297949664</v>
      </c>
      <c r="X28" s="2">
        <v>0.419492954273529</v>
      </c>
      <c r="AA28" s="1">
        <v>-1.52558448485474</v>
      </c>
      <c r="AB28" s="1">
        <v>0.660116498665149</v>
      </c>
      <c r="AC28" s="1">
        <v>0.531041408814921</v>
      </c>
      <c r="AD28" s="1">
        <v>0.30236600044232</v>
      </c>
      <c r="AE28" s="1">
        <v>0.237954845772504</v>
      </c>
      <c r="AF28" s="1">
        <v>0.980135153336468</v>
      </c>
    </row>
    <row r="29" spans="2:32">
      <c r="B29" s="1">
        <v>2044</v>
      </c>
      <c r="C29">
        <v>171.18059194607</v>
      </c>
      <c r="F29">
        <v>693.018165288718</v>
      </c>
      <c r="H29">
        <v>29.5879933327454</v>
      </c>
      <c r="I29" s="1">
        <v>2044</v>
      </c>
      <c r="K29" s="1">
        <v>7.75145188431991</v>
      </c>
      <c r="L29" s="1">
        <v>3.39739569537524</v>
      </c>
      <c r="M29" s="1">
        <v>0.672738945364378</v>
      </c>
      <c r="N29" s="1">
        <v>0.371315785662817</v>
      </c>
      <c r="O29" s="1">
        <v>0.206810319742689</v>
      </c>
      <c r="P29" s="1">
        <v>0.864199163184832</v>
      </c>
      <c r="S29" s="2">
        <v>45.2994905817184</v>
      </c>
      <c r="T29" s="2">
        <v>13.8776880256464</v>
      </c>
      <c r="U29" s="2">
        <v>0.71420244904197</v>
      </c>
      <c r="V29" s="2">
        <v>0.393839146576875</v>
      </c>
      <c r="W29" s="2">
        <v>0.174193496926681</v>
      </c>
      <c r="X29" s="2">
        <v>0.419500856443322</v>
      </c>
      <c r="AA29" s="1">
        <v>-2.10567858365123</v>
      </c>
      <c r="AB29" s="1">
        <v>0.581437327840781</v>
      </c>
      <c r="AC29" s="1">
        <v>0.575832404215236</v>
      </c>
      <c r="AD29" s="1">
        <v>0.324347064216767</v>
      </c>
      <c r="AE29" s="1">
        <v>0.251453411080117</v>
      </c>
      <c r="AF29" s="1">
        <v>0.984031759786906</v>
      </c>
    </row>
    <row r="30" spans="2:32">
      <c r="B30" s="1">
        <v>2045</v>
      </c>
      <c r="C30">
        <v>152.981168361343</v>
      </c>
      <c r="F30">
        <v>698.697007250592</v>
      </c>
      <c r="H30">
        <v>28.2369074708632</v>
      </c>
      <c r="I30" s="1">
        <v>2045</v>
      </c>
      <c r="K30" s="1">
        <v>6.03661618484534</v>
      </c>
      <c r="L30" s="1">
        <v>3.02365602171138</v>
      </c>
      <c r="M30" s="1">
        <v>0.724585140342483</v>
      </c>
      <c r="N30" s="1">
        <v>0.401570220872164</v>
      </c>
      <c r="O30" s="1">
        <v>0.221436448097954</v>
      </c>
      <c r="P30" s="1">
        <v>0.881687238254368</v>
      </c>
      <c r="S30" s="2">
        <v>45.1782631353231</v>
      </c>
      <c r="T30" s="2">
        <v>13.9649013846011</v>
      </c>
      <c r="U30" s="2">
        <v>0.770014282043807</v>
      </c>
      <c r="V30" s="2">
        <v>0.428856956091334</v>
      </c>
      <c r="W30" s="2">
        <v>0.187184634244488</v>
      </c>
      <c r="X30" s="2">
        <v>0.420936974543305</v>
      </c>
      <c r="AA30" s="1">
        <v>-2.29674678189268</v>
      </c>
      <c r="AB30" s="1">
        <v>0.611158496010421</v>
      </c>
      <c r="AC30" s="1">
        <v>0.620255069137923</v>
      </c>
      <c r="AD30" s="1">
        <v>0.347175142614538</v>
      </c>
      <c r="AE30" s="1">
        <v>0.265658957316003</v>
      </c>
      <c r="AF30" s="1">
        <v>0.983507642320805</v>
      </c>
    </row>
    <row r="31" spans="2:32">
      <c r="B31" s="1">
        <v>2046</v>
      </c>
      <c r="C31">
        <v>135.673992957415</v>
      </c>
      <c r="F31">
        <v>705.84212507297</v>
      </c>
      <c r="H31">
        <v>26.1942894751083</v>
      </c>
      <c r="I31" s="1">
        <v>2046</v>
      </c>
      <c r="K31" s="1">
        <v>4.4340800920591</v>
      </c>
      <c r="L31" s="1">
        <v>2.67992884664186</v>
      </c>
      <c r="M31" s="1">
        <v>0.773456680550579</v>
      </c>
      <c r="N31" s="1">
        <v>0.432957517995476</v>
      </c>
      <c r="O31" s="1">
        <v>0.237141017385968</v>
      </c>
      <c r="P31" s="1">
        <v>0.897513238202891</v>
      </c>
      <c r="S31" s="2">
        <v>45.2065605191257</v>
      </c>
      <c r="T31" s="2">
        <v>14.0938038397447</v>
      </c>
      <c r="U31" s="2">
        <v>0.821782313874766</v>
      </c>
      <c r="V31" s="2">
        <v>0.465524408472308</v>
      </c>
      <c r="W31" s="2">
        <v>0.201287107255189</v>
      </c>
      <c r="X31" s="2">
        <v>0.421600931636033</v>
      </c>
      <c r="AA31" s="1">
        <v>-2.98253765465489</v>
      </c>
      <c r="AB31" s="1">
        <v>0.504881410185445</v>
      </c>
      <c r="AC31" s="1">
        <v>0.663652285453101</v>
      </c>
      <c r="AD31" s="1">
        <v>0.370751395945911</v>
      </c>
      <c r="AE31" s="1">
        <v>0.280590813197772</v>
      </c>
      <c r="AF31" s="1">
        <v>0.988353963194822</v>
      </c>
    </row>
    <row r="32" spans="2:32">
      <c r="B32" s="1">
        <v>2047</v>
      </c>
      <c r="C32">
        <v>119.966295398006</v>
      </c>
      <c r="F32">
        <v>711.036975430192</v>
      </c>
      <c r="H32">
        <v>25.9165505204632</v>
      </c>
      <c r="I32" s="1">
        <v>2047</v>
      </c>
      <c r="K32" s="1">
        <v>3.10389045182466</v>
      </c>
      <c r="L32" s="1">
        <v>2.4093694322897</v>
      </c>
      <c r="M32" s="1">
        <v>0.818537193410779</v>
      </c>
      <c r="N32" s="1">
        <v>0.465247739811862</v>
      </c>
      <c r="O32" s="1">
        <v>0.25397256994134</v>
      </c>
      <c r="P32" s="1">
        <v>0.910071134977188</v>
      </c>
      <c r="S32" s="2">
        <v>45.0779847035462</v>
      </c>
      <c r="T32" s="2">
        <v>14.1785420455762</v>
      </c>
      <c r="U32" s="2">
        <v>0.868614308522993</v>
      </c>
      <c r="V32" s="2">
        <v>0.503627433735702</v>
      </c>
      <c r="W32" s="2">
        <v>0.216620841541015</v>
      </c>
      <c r="X32" s="2">
        <v>0.422836129838991</v>
      </c>
      <c r="AA32" s="1">
        <v>-3.2644909021593</v>
      </c>
      <c r="AB32" s="1">
        <v>0.509774990708326</v>
      </c>
      <c r="AC32" s="1">
        <v>0.705468367439567</v>
      </c>
      <c r="AD32" s="1">
        <v>0.394987621037749</v>
      </c>
      <c r="AE32" s="1">
        <v>0.296269152352533</v>
      </c>
      <c r="AF32" s="1">
        <v>0.988767821498296</v>
      </c>
    </row>
    <row r="33" spans="2:32">
      <c r="B33" s="1">
        <v>2048</v>
      </c>
      <c r="C33">
        <v>104.310247104974</v>
      </c>
      <c r="F33">
        <v>717.606409569661</v>
      </c>
      <c r="H33">
        <v>24.8138937492667</v>
      </c>
      <c r="I33" s="1">
        <v>2048</v>
      </c>
      <c r="K33" s="1">
        <v>1.55671191970701</v>
      </c>
      <c r="L33" s="1">
        <v>2.07618936088937</v>
      </c>
      <c r="M33" s="1">
        <v>0.859305967898717</v>
      </c>
      <c r="N33" s="1">
        <v>0.498199439288992</v>
      </c>
      <c r="O33" s="1">
        <v>0.271998372252727</v>
      </c>
      <c r="P33" s="1">
        <v>0.924767707301309</v>
      </c>
      <c r="S33" s="2">
        <v>45.093315746101</v>
      </c>
      <c r="T33" s="2">
        <v>14.3014830233329</v>
      </c>
      <c r="U33" s="2">
        <v>0.909768207879579</v>
      </c>
      <c r="V33" s="2">
        <v>0.542700778592106</v>
      </c>
      <c r="W33" s="2">
        <v>0.233224139117145</v>
      </c>
      <c r="X33" s="2">
        <v>0.423399540485862</v>
      </c>
      <c r="AA33" s="1">
        <v>-3.6422463605739</v>
      </c>
      <c r="AB33" s="1">
        <v>0.487438534847701</v>
      </c>
      <c r="AC33" s="1">
        <v>0.745209402843502</v>
      </c>
      <c r="AD33" s="1">
        <v>0.419772398977567</v>
      </c>
      <c r="AE33" s="1">
        <v>0.312713924817057</v>
      </c>
      <c r="AF33" s="1">
        <v>0.990238260177384</v>
      </c>
    </row>
    <row r="34" spans="2:32">
      <c r="B34" s="1">
        <v>2049</v>
      </c>
      <c r="C34">
        <v>90.3992942661588</v>
      </c>
      <c r="F34">
        <v>720.39565568488</v>
      </c>
      <c r="H34">
        <v>23.3188682259483</v>
      </c>
      <c r="I34" s="1">
        <v>2049</v>
      </c>
      <c r="K34" s="1">
        <v>0.232092098566741</v>
      </c>
      <c r="L34" s="1">
        <v>1.80120213776938</v>
      </c>
      <c r="M34" s="1">
        <v>0.895492784842044</v>
      </c>
      <c r="N34" s="1">
        <v>0.531531107685144</v>
      </c>
      <c r="O34" s="1">
        <v>0.291268762417606</v>
      </c>
      <c r="P34" s="1">
        <v>0.936915811515711</v>
      </c>
      <c r="S34" s="2">
        <v>44.7927427437495</v>
      </c>
      <c r="T34" s="2">
        <v>14.3349177210663</v>
      </c>
      <c r="U34" s="2">
        <v>0.945244400423294</v>
      </c>
      <c r="V34" s="2">
        <v>0.582515173290611</v>
      </c>
      <c r="W34" s="2">
        <v>0.251282001754438</v>
      </c>
      <c r="X34" s="2">
        <v>0.425213010734685</v>
      </c>
      <c r="AA34" s="1">
        <v>-3.9067899029118</v>
      </c>
      <c r="AB34" s="1">
        <v>0.495112357729461</v>
      </c>
      <c r="AC34" s="1">
        <v>0.782506753587663</v>
      </c>
      <c r="AD34" s="1">
        <v>0.444997205916606</v>
      </c>
      <c r="AE34" s="1">
        <v>0.329949518708861</v>
      </c>
      <c r="AF34" s="1">
        <v>0.990552184277397</v>
      </c>
    </row>
    <row r="35" spans="2:32">
      <c r="B35" s="1">
        <v>2050</v>
      </c>
      <c r="C35">
        <v>77.6318401708487</v>
      </c>
      <c r="F35">
        <v>723.545811274571</v>
      </c>
      <c r="H35">
        <v>21.3948760946022</v>
      </c>
      <c r="I35" s="1">
        <v>2050</v>
      </c>
      <c r="K35" s="1">
        <v>-1.03832310332328</v>
      </c>
      <c r="L35" s="1">
        <v>1.53765828141257</v>
      </c>
      <c r="M35" s="1">
        <v>0.927083972586776</v>
      </c>
      <c r="N35" s="1">
        <v>0.564950532313527</v>
      </c>
      <c r="O35" s="1">
        <v>0.311837452447645</v>
      </c>
      <c r="P35" s="1">
        <v>0.948402653500414</v>
      </c>
      <c r="S35" s="2">
        <v>44.5451061471357</v>
      </c>
      <c r="T35" s="2">
        <v>14.381085181571</v>
      </c>
      <c r="U35" s="2">
        <v>0.975110088987266</v>
      </c>
      <c r="V35" s="2">
        <v>0.622567213108761</v>
      </c>
      <c r="W35" s="2">
        <v>0.270875407017106</v>
      </c>
      <c r="X35" s="2">
        <v>0.426748450887103</v>
      </c>
      <c r="AA35" s="1">
        <v>-4.33797350521497</v>
      </c>
      <c r="AB35" s="1">
        <v>0.455074350197629</v>
      </c>
      <c r="AC35" s="1">
        <v>0.817074630095282</v>
      </c>
      <c r="AD35" s="1">
        <v>0.470525765441544</v>
      </c>
      <c r="AE35" s="1">
        <v>0.34799089117817</v>
      </c>
      <c r="AF35" s="1">
        <v>0.99267810355397</v>
      </c>
    </row>
    <row r="36" spans="2:32">
      <c r="B36" s="1">
        <v>2051</v>
      </c>
      <c r="C36">
        <v>68.5960546840479</v>
      </c>
      <c r="F36">
        <v>728.60660913671</v>
      </c>
      <c r="H36">
        <v>21.9959812206424</v>
      </c>
      <c r="I36" s="1">
        <v>2051</v>
      </c>
      <c r="K36" s="1">
        <v>-2.00507364156234</v>
      </c>
      <c r="L36" s="1">
        <v>1.35444944487572</v>
      </c>
      <c r="M36" s="1">
        <v>0.954267008253437</v>
      </c>
      <c r="N36" s="1">
        <v>0.598161146467444</v>
      </c>
      <c r="O36" s="1">
        <v>0.33375141057481</v>
      </c>
      <c r="P36" s="1">
        <v>0.956692757302219</v>
      </c>
      <c r="S36" s="2">
        <v>44.4493476119306</v>
      </c>
      <c r="T36" s="2">
        <v>14.4673495179353</v>
      </c>
      <c r="U36" s="2">
        <v>0.999755706210864</v>
      </c>
      <c r="V36" s="2">
        <v>0.662366565328102</v>
      </c>
      <c r="W36" s="2">
        <v>0.292104646126404</v>
      </c>
      <c r="X36" s="2">
        <v>0.427880625864223</v>
      </c>
      <c r="AA36" s="1">
        <v>-4.55359907761651</v>
      </c>
      <c r="AB36" s="1">
        <v>0.472659497776597</v>
      </c>
      <c r="AC36" s="1">
        <v>0.848755489049095</v>
      </c>
      <c r="AD36" s="1">
        <v>0.496223763316979</v>
      </c>
      <c r="AE36" s="1">
        <v>0.366850412602377</v>
      </c>
      <c r="AF36" s="1">
        <v>0.99263878644595</v>
      </c>
    </row>
    <row r="37" spans="2:32">
      <c r="B37" s="1">
        <v>2052</v>
      </c>
      <c r="C37">
        <v>60.2942634253898</v>
      </c>
      <c r="F37">
        <v>731.816806562667</v>
      </c>
      <c r="H37">
        <v>21.5034106989219</v>
      </c>
      <c r="I37" s="1">
        <v>2052</v>
      </c>
      <c r="K37" s="1">
        <v>-2.93227123521572</v>
      </c>
      <c r="L37" s="1">
        <v>1.17875287258992</v>
      </c>
      <c r="M37" s="1">
        <v>0.977381935858293</v>
      </c>
      <c r="N37" s="1">
        <v>0.630888005614368</v>
      </c>
      <c r="O37" s="1">
        <v>0.357068562321363</v>
      </c>
      <c r="P37" s="1">
        <v>0.964546341579852</v>
      </c>
      <c r="S37" s="2">
        <v>44.2089529387441</v>
      </c>
      <c r="T37" s="2">
        <v>14.5119260139249</v>
      </c>
      <c r="U37" s="2">
        <v>1.01979110880141</v>
      </c>
      <c r="V37" s="2">
        <v>0.701509806206907</v>
      </c>
      <c r="W37" s="2">
        <v>0.315132150991987</v>
      </c>
      <c r="X37" s="2">
        <v>0.429547241863228</v>
      </c>
      <c r="AA37" s="1">
        <v>-4.86794110575291</v>
      </c>
      <c r="AB37" s="1">
        <v>0.460859910137547</v>
      </c>
      <c r="AC37" s="1">
        <v>0.87751203420222</v>
      </c>
      <c r="AD37" s="1">
        <v>0.521966876561479</v>
      </c>
      <c r="AE37" s="1">
        <v>0.386553471288824</v>
      </c>
      <c r="AF37" s="1">
        <v>0.993707399825998</v>
      </c>
    </row>
    <row r="38" spans="2:32">
      <c r="B38" s="1">
        <v>2053</v>
      </c>
      <c r="C38">
        <v>53.0312075381737</v>
      </c>
      <c r="F38">
        <v>745.524635597103</v>
      </c>
      <c r="H38">
        <v>20.6307657372684</v>
      </c>
      <c r="I38" s="1">
        <v>2053</v>
      </c>
      <c r="K38" s="1">
        <v>-3.74600203833771</v>
      </c>
      <c r="L38" s="1">
        <v>1.03125174841914</v>
      </c>
      <c r="M38" s="1">
        <v>0.996848425553735</v>
      </c>
      <c r="N38" s="1">
        <v>0.662875612641919</v>
      </c>
      <c r="O38" s="1">
        <v>0.381845748203592</v>
      </c>
      <c r="P38" s="1">
        <v>0.971210834572898</v>
      </c>
      <c r="S38" s="2">
        <v>44.7549792536508</v>
      </c>
      <c r="T38" s="2">
        <v>14.7735670785943</v>
      </c>
      <c r="U38" s="2">
        <v>1.03580738664751</v>
      </c>
      <c r="V38" s="2">
        <v>0.739457793410294</v>
      </c>
      <c r="W38" s="2">
        <v>0.340000243896789</v>
      </c>
      <c r="X38" s="2">
        <v>0.429077362721429</v>
      </c>
      <c r="AA38" s="1">
        <v>-5.20204953730716</v>
      </c>
      <c r="AB38" s="1">
        <v>0.441430266429002</v>
      </c>
      <c r="AC38" s="1">
        <v>0.903392371872571</v>
      </c>
      <c r="AD38" s="1">
        <v>0.547631373687712</v>
      </c>
      <c r="AE38" s="1">
        <v>0.407123750490092</v>
      </c>
      <c r="AF38" s="1">
        <v>0.995054218219375</v>
      </c>
    </row>
    <row r="39" spans="2:32">
      <c r="B39" s="1">
        <v>2054</v>
      </c>
      <c r="C39">
        <v>46.5192364223758</v>
      </c>
      <c r="F39">
        <v>759.875287052573</v>
      </c>
      <c r="H39">
        <v>19.6223428714855</v>
      </c>
      <c r="I39" s="1">
        <v>2054</v>
      </c>
      <c r="K39" s="1">
        <v>-4.49946245863473</v>
      </c>
      <c r="L39" s="1">
        <v>0.897512868485934</v>
      </c>
      <c r="M39" s="1">
        <v>1.01311541068947</v>
      </c>
      <c r="N39" s="1">
        <v>0.693892594476194</v>
      </c>
      <c r="O39" s="1">
        <v>0.408139231947839</v>
      </c>
      <c r="P39" s="1">
        <v>0.977272384669204</v>
      </c>
      <c r="S39" s="2">
        <v>45.3307387722564</v>
      </c>
      <c r="T39" s="2">
        <v>15.0429170929595</v>
      </c>
      <c r="U39" s="2">
        <v>1.04848035837703</v>
      </c>
      <c r="V39" s="2">
        <v>0.775858707431983</v>
      </c>
      <c r="W39" s="2">
        <v>0.366863189473419</v>
      </c>
      <c r="X39" s="2">
        <v>0.428754165839593</v>
      </c>
      <c r="AA39" s="1">
        <v>-5.53911017385291</v>
      </c>
      <c r="AB39" s="1">
        <v>0.419029468078517</v>
      </c>
      <c r="AC39" s="1">
        <v>0.926511673568924</v>
      </c>
      <c r="AD39" s="1">
        <v>0.573096663778828</v>
      </c>
      <c r="AE39" s="1">
        <v>0.428584478665618</v>
      </c>
      <c r="AF39" s="1">
        <v>0.996505215869039</v>
      </c>
    </row>
    <row r="40" spans="2:32">
      <c r="B40" s="1">
        <v>2055</v>
      </c>
      <c r="C40">
        <v>40.7922634284968</v>
      </c>
      <c r="F40">
        <v>773.868226598595</v>
      </c>
      <c r="H40">
        <v>18.5722144244276</v>
      </c>
      <c r="I40" s="1">
        <v>2055</v>
      </c>
      <c r="K40" s="1">
        <v>-5.17953294380652</v>
      </c>
      <c r="L40" s="1">
        <v>0.781489663219937</v>
      </c>
      <c r="M40" s="1">
        <v>1.02662773038979</v>
      </c>
      <c r="N40" s="1">
        <v>0.723740641912859</v>
      </c>
      <c r="O40" s="1">
        <v>0.436004700130234</v>
      </c>
      <c r="P40" s="1">
        <v>0.982609609775586</v>
      </c>
      <c r="S40" s="2">
        <v>45.8923140489304</v>
      </c>
      <c r="T40" s="2">
        <v>15.3087393972721</v>
      </c>
      <c r="U40" s="2">
        <v>1.05840016355415</v>
      </c>
      <c r="V40" s="2">
        <v>0.81033332371886</v>
      </c>
      <c r="W40" s="2">
        <v>0.395815413284436</v>
      </c>
      <c r="X40" s="2">
        <v>0.42840863037233</v>
      </c>
      <c r="AA40" s="1">
        <v>-5.87282182172812</v>
      </c>
      <c r="AB40" s="1">
        <v>0.395466097239217</v>
      </c>
      <c r="AC40" s="1">
        <v>0.947033288114781</v>
      </c>
      <c r="AD40" s="1">
        <v>0.598247432602055</v>
      </c>
      <c r="AE40" s="1">
        <v>0.450958454417649</v>
      </c>
      <c r="AF40" s="1">
        <v>0.997995855728103</v>
      </c>
    </row>
    <row r="41" spans="2:32">
      <c r="B41" s="1">
        <v>2056</v>
      </c>
      <c r="C41">
        <v>37.0486785019628</v>
      </c>
      <c r="F41">
        <v>787.55244189023</v>
      </c>
      <c r="H41">
        <v>17.5218495111432</v>
      </c>
      <c r="I41" s="1">
        <v>2056</v>
      </c>
      <c r="K41" s="1">
        <v>-5.55073370996841</v>
      </c>
      <c r="L41" s="1">
        <v>0.748952627345724</v>
      </c>
      <c r="M41" s="1">
        <v>1.03781067844258</v>
      </c>
      <c r="N41" s="1">
        <v>0.752279245339684</v>
      </c>
      <c r="O41" s="1">
        <v>0.465510539845776</v>
      </c>
      <c r="P41" s="1">
        <v>0.984792378472026</v>
      </c>
      <c r="S41" s="2">
        <v>46.4691515007906</v>
      </c>
      <c r="T41" s="2">
        <v>15.5804137449986</v>
      </c>
      <c r="U41" s="2">
        <v>1.06611053850822</v>
      </c>
      <c r="V41" s="2">
        <v>0.84263928309688</v>
      </c>
      <c r="W41" s="2">
        <v>0.426994388587474</v>
      </c>
      <c r="X41" s="2">
        <v>0.427739095770335</v>
      </c>
      <c r="AA41" s="1">
        <v>-6.20015403337896</v>
      </c>
      <c r="AB41" s="1">
        <v>0.371683917526724</v>
      </c>
      <c r="AC41" s="1">
        <v>0.965151537643298</v>
      </c>
      <c r="AD41" s="1">
        <v>0.622975695827482</v>
      </c>
      <c r="AE41" s="1">
        <v>0.474268051226611</v>
      </c>
      <c r="AF41" s="1">
        <v>0.999494775744834</v>
      </c>
    </row>
    <row r="42" spans="2:32">
      <c r="B42" s="1">
        <v>2057</v>
      </c>
      <c r="C42">
        <v>31.7407144176438</v>
      </c>
      <c r="F42">
        <v>800.915719345758</v>
      </c>
      <c r="H42">
        <v>16.5050534538582</v>
      </c>
      <c r="I42" s="1">
        <v>2057</v>
      </c>
      <c r="K42" s="1">
        <v>-6.24861796420625</v>
      </c>
      <c r="L42" s="1">
        <v>0.623709033046389</v>
      </c>
      <c r="M42" s="1">
        <v>1.04702636093308</v>
      </c>
      <c r="N42" s="1">
        <v>0.77935367131469</v>
      </c>
      <c r="O42" s="1">
        <v>0.496695783725883</v>
      </c>
      <c r="P42" s="1">
        <v>0.990425171778621</v>
      </c>
      <c r="S42" s="2">
        <v>47.0158079972758</v>
      </c>
      <c r="T42" s="2">
        <v>15.8451395091604</v>
      </c>
      <c r="U42" s="2">
        <v>1.07206541480156</v>
      </c>
      <c r="V42" s="2">
        <v>0.872588156866981</v>
      </c>
      <c r="W42" s="2">
        <v>0.4605294567729</v>
      </c>
      <c r="X42" s="2">
        <v>0.427210122882898</v>
      </c>
      <c r="AA42" s="1">
        <v>-6.52030033344695</v>
      </c>
      <c r="AB42" s="1">
        <v>0.348527358549893</v>
      </c>
      <c r="AC42" s="1">
        <v>0.981077001402214</v>
      </c>
      <c r="AD42" s="1">
        <v>0.647182478266565</v>
      </c>
      <c r="AE42" s="1">
        <v>0.498531606184828</v>
      </c>
      <c r="AF42" s="1">
        <v>1</v>
      </c>
    </row>
    <row r="43" spans="2:32">
      <c r="B43" s="1">
        <v>2058</v>
      </c>
      <c r="C43">
        <v>32.7202593535177</v>
      </c>
      <c r="F43">
        <v>813.978065537031</v>
      </c>
      <c r="H43">
        <v>15.5148467105791</v>
      </c>
      <c r="I43" s="1">
        <v>2058</v>
      </c>
      <c r="K43" s="1">
        <v>-6.38588347010281</v>
      </c>
      <c r="L43" s="1">
        <v>0.652651407202311</v>
      </c>
      <c r="M43" s="1">
        <v>1.05460933337704</v>
      </c>
      <c r="N43" s="1">
        <v>0.80488923147921</v>
      </c>
      <c r="O43" s="1">
        <v>0.529602926367104</v>
      </c>
      <c r="P43" s="1">
        <v>0.990361052521542</v>
      </c>
      <c r="S43" s="2">
        <v>47.5300496936586</v>
      </c>
      <c r="T43" s="2">
        <v>16.1028005930438</v>
      </c>
      <c r="U43" s="2">
        <v>1.07664083008383</v>
      </c>
      <c r="V43" s="2">
        <v>0.900071871726652</v>
      </c>
      <c r="W43" s="2">
        <v>0.496554017748621</v>
      </c>
      <c r="X43" s="2">
        <v>0.426832226076998</v>
      </c>
      <c r="AA43" s="1">
        <v>-6.83345599593359</v>
      </c>
      <c r="AB43" s="1">
        <v>0.325901893392863</v>
      </c>
      <c r="AC43" s="1">
        <v>0.995024806148927</v>
      </c>
      <c r="AD43" s="1">
        <v>0.6707791413681</v>
      </c>
      <c r="AE43" s="1">
        <v>0.523767762948634</v>
      </c>
      <c r="AF43" s="1">
        <v>1</v>
      </c>
    </row>
    <row r="44" spans="2:32">
      <c r="B44" s="1">
        <v>2059</v>
      </c>
      <c r="C44">
        <v>35.8492084476319</v>
      </c>
      <c r="F44">
        <v>826.762468450554</v>
      </c>
      <c r="H44">
        <v>14.5459353558033</v>
      </c>
      <c r="I44" s="1">
        <v>2059</v>
      </c>
      <c r="K44" s="1">
        <v>-6.46457666006518</v>
      </c>
      <c r="L44" s="1">
        <v>0.696652121734477</v>
      </c>
      <c r="M44" s="1">
        <v>1.06083813367945</v>
      </c>
      <c r="N44" s="1">
        <v>0.82881938790938</v>
      </c>
      <c r="O44" s="1">
        <v>0.564255335490957</v>
      </c>
      <c r="P44" s="1">
        <v>0.989815779578262</v>
      </c>
      <c r="S44" s="2">
        <v>48.0148082186558</v>
      </c>
      <c r="T44" s="2">
        <v>16.3547683140924</v>
      </c>
      <c r="U44" s="2">
        <v>1.08013971677179</v>
      </c>
      <c r="V44" s="2">
        <v>0.925043335683555</v>
      </c>
      <c r="W44" s="2">
        <v>0.535181927134568</v>
      </c>
      <c r="X44" s="2">
        <v>0.426562970686737</v>
      </c>
      <c r="AA44" s="1">
        <v>-7.1395944620343</v>
      </c>
      <c r="AB44" s="1">
        <v>0.303727860477103</v>
      </c>
      <c r="AC44" s="1">
        <v>1.0072058671253</v>
      </c>
      <c r="AD44" s="1">
        <v>0.693688267796312</v>
      </c>
      <c r="AE44" s="1">
        <v>0.549995851564847</v>
      </c>
      <c r="AF44" s="1">
        <v>1</v>
      </c>
    </row>
    <row r="45" spans="2:32">
      <c r="B45" s="1">
        <v>2060</v>
      </c>
      <c r="C45">
        <v>38.4258717703898</v>
      </c>
      <c r="F45">
        <v>839.287320870857</v>
      </c>
      <c r="H45">
        <v>13.6045019825086</v>
      </c>
      <c r="I45" s="1">
        <v>2060</v>
      </c>
      <c r="K45" s="1">
        <v>-6.55077650101299</v>
      </c>
      <c r="L45" s="1">
        <v>0.737628524181392</v>
      </c>
      <c r="M45" s="1">
        <v>1.06595468654908</v>
      </c>
      <c r="N45" s="1">
        <v>0.851132882930808</v>
      </c>
      <c r="O45" s="1">
        <v>0.600703709184184</v>
      </c>
      <c r="P45" s="1">
        <v>0.989437519289504</v>
      </c>
      <c r="S45" s="2">
        <v>48.4702101467173</v>
      </c>
      <c r="T45" s="2">
        <v>16.6015453709574</v>
      </c>
      <c r="U45" s="2">
        <v>1.08280434032231</v>
      </c>
      <c r="V45" s="2">
        <v>0.947519546630894</v>
      </c>
      <c r="W45" s="2">
        <v>0.576512088133619</v>
      </c>
      <c r="X45" s="2">
        <v>0.42639116108798</v>
      </c>
      <c r="AA45" s="1">
        <v>-7.43866473621852</v>
      </c>
      <c r="AB45" s="1">
        <v>0.282172446161211</v>
      </c>
      <c r="AC45" s="1">
        <v>1.0178208576142</v>
      </c>
      <c r="AD45" s="1">
        <v>0.715844223222297</v>
      </c>
      <c r="AE45" s="1">
        <v>0.577234111566127</v>
      </c>
      <c r="AF45" s="1">
        <v>1</v>
      </c>
    </row>
    <row r="46" spans="2:32">
      <c r="B46" s="1">
        <v>2061</v>
      </c>
      <c r="C46">
        <v>43.3807167030888</v>
      </c>
      <c r="F46">
        <v>854.48499986843</v>
      </c>
      <c r="H46">
        <v>15.4079818660336</v>
      </c>
      <c r="I46" s="1">
        <v>2061</v>
      </c>
      <c r="K46" s="1">
        <v>-6.42971249706261</v>
      </c>
      <c r="L46" s="1">
        <v>0.835781839352346</v>
      </c>
      <c r="M46" s="1">
        <v>1.07016020637832</v>
      </c>
      <c r="N46" s="1">
        <v>0.87184583226123</v>
      </c>
      <c r="O46" s="1">
        <v>0.638987913254262</v>
      </c>
      <c r="P46" s="1">
        <v>0.98710735977319</v>
      </c>
      <c r="S46" s="2">
        <v>49.1018971200041</v>
      </c>
      <c r="T46" s="2">
        <v>16.9010620010245</v>
      </c>
      <c r="U46" s="2">
        <v>1.08482637302721</v>
      </c>
      <c r="V46" s="2">
        <v>0.967573692697536</v>
      </c>
      <c r="W46" s="2">
        <v>0.620615234571246</v>
      </c>
      <c r="X46" s="2">
        <v>0.425885353950169</v>
      </c>
      <c r="AA46" s="1">
        <v>-7.50765430018621</v>
      </c>
      <c r="AB46" s="1">
        <v>0.322210552149638</v>
      </c>
      <c r="AC46" s="1">
        <v>1.0270564210776</v>
      </c>
      <c r="AD46" s="1">
        <v>0.7371933805455</v>
      </c>
      <c r="AE46" s="1">
        <v>0.605502832395506</v>
      </c>
      <c r="AF46" s="1">
        <v>1</v>
      </c>
    </row>
    <row r="47" spans="2:32">
      <c r="B47" s="1">
        <v>2062</v>
      </c>
      <c r="C47">
        <v>46.7782428467889</v>
      </c>
      <c r="F47">
        <v>869.376346545764</v>
      </c>
      <c r="H47">
        <v>15.6552001022705</v>
      </c>
      <c r="I47" s="1">
        <v>2062</v>
      </c>
      <c r="K47" s="1">
        <v>-6.28029222067384</v>
      </c>
      <c r="L47" s="1">
        <v>0.941613065985926</v>
      </c>
      <c r="M47" s="1">
        <v>1.07362275678622</v>
      </c>
      <c r="N47" s="1">
        <v>0.891008286637768</v>
      </c>
      <c r="O47" s="1">
        <v>0.679176545941979</v>
      </c>
      <c r="P47" s="1">
        <v>0.984614938741794</v>
      </c>
      <c r="S47" s="2">
        <v>49.6985211177971</v>
      </c>
      <c r="T47" s="2">
        <v>17.1947119619639</v>
      </c>
      <c r="U47" s="2">
        <v>1.0863556927523</v>
      </c>
      <c r="V47" s="2">
        <v>0.985320320098191</v>
      </c>
      <c r="W47" s="2">
        <v>0.667539422455648</v>
      </c>
      <c r="X47" s="2">
        <v>0.425484128600642</v>
      </c>
      <c r="AA47" s="1">
        <v>-7.68537443637293</v>
      </c>
      <c r="AB47" s="1">
        <v>0.331600026990637</v>
      </c>
      <c r="AC47" s="1">
        <v>1.03508532935203</v>
      </c>
      <c r="AD47" s="1">
        <v>0.75769963669632</v>
      </c>
      <c r="AE47" s="1">
        <v>0.634826270862174</v>
      </c>
      <c r="AF47" s="1">
        <v>1</v>
      </c>
    </row>
    <row r="48" spans="2:32">
      <c r="B48" s="1">
        <v>2063</v>
      </c>
      <c r="C48">
        <v>49.7783480704427</v>
      </c>
      <c r="F48">
        <v>883.97875831461</v>
      </c>
      <c r="H48">
        <v>15.0340768646245</v>
      </c>
      <c r="I48" s="1">
        <v>2063</v>
      </c>
      <c r="K48" s="1">
        <v>-6.47365645293664</v>
      </c>
      <c r="L48" s="1">
        <v>0.951392934123235</v>
      </c>
      <c r="M48" s="1">
        <v>1.0764719011388</v>
      </c>
      <c r="N48" s="1">
        <v>0.908639738597761</v>
      </c>
      <c r="O48" s="1">
        <v>0.721259128403284</v>
      </c>
      <c r="P48" s="1">
        <v>0.985563693599936</v>
      </c>
      <c r="S48" s="2">
        <v>50.2659223395948</v>
      </c>
      <c r="T48" s="2">
        <v>17.4845072097539</v>
      </c>
      <c r="U48" s="2">
        <v>1.08750830924261</v>
      </c>
      <c r="V48" s="2">
        <v>1.00089887649425</v>
      </c>
      <c r="W48" s="2">
        <v>0.717271261163157</v>
      </c>
      <c r="X48" s="2">
        <v>0.425122161904659</v>
      </c>
      <c r="AA48" s="1">
        <v>-7.94589124973217</v>
      </c>
      <c r="AB48" s="1">
        <v>0.317548728973277</v>
      </c>
      <c r="AC48" s="1">
        <v>1.04206022787408</v>
      </c>
      <c r="AD48" s="1">
        <v>0.777331360353249</v>
      </c>
      <c r="AE48" s="1">
        <v>0.665218390672906</v>
      </c>
      <c r="AF48" s="1">
        <v>1</v>
      </c>
    </row>
    <row r="49" spans="2:32">
      <c r="B49" s="1">
        <v>2064</v>
      </c>
      <c r="C49">
        <v>52.0663676475228</v>
      </c>
      <c r="F49">
        <v>898.286336551739</v>
      </c>
      <c r="H49">
        <v>14.2239117076691</v>
      </c>
      <c r="I49" s="1">
        <v>2064</v>
      </c>
      <c r="K49" s="1">
        <v>-6.39011457515817</v>
      </c>
      <c r="L49" s="1">
        <v>1.03879761881797</v>
      </c>
      <c r="M49" s="1">
        <v>1.078825514024</v>
      </c>
      <c r="N49" s="1">
        <v>0.924846252654701</v>
      </c>
      <c r="O49" s="1">
        <v>0.765339260982176</v>
      </c>
      <c r="P49" s="1">
        <v>0.983872780973547</v>
      </c>
      <c r="S49" s="2">
        <v>50.7919267756348</v>
      </c>
      <c r="T49" s="2">
        <v>17.7669411128325</v>
      </c>
      <c r="U49" s="2">
        <v>1.08837541587851</v>
      </c>
      <c r="V49" s="2">
        <v>1.01449146304558</v>
      </c>
      <c r="W49" s="2">
        <v>0.769830373392198</v>
      </c>
      <c r="X49" s="2">
        <v>0.424914381345276</v>
      </c>
      <c r="AA49" s="1">
        <v>-8.22198110198747</v>
      </c>
      <c r="AB49" s="1">
        <v>0.298525924365918</v>
      </c>
      <c r="AC49" s="1">
        <v>1.04811825703721</v>
      </c>
      <c r="AD49" s="1">
        <v>0.796070382064813</v>
      </c>
      <c r="AE49" s="1">
        <v>0.696695767624111</v>
      </c>
      <c r="AF49" s="1">
        <v>1</v>
      </c>
    </row>
    <row r="50" spans="2:32">
      <c r="B50" s="1">
        <v>2065</v>
      </c>
      <c r="C50">
        <v>53.4760663179077</v>
      </c>
      <c r="F50">
        <v>912.310864581342</v>
      </c>
      <c r="H50">
        <v>13.3899806900125</v>
      </c>
      <c r="I50" s="1">
        <v>2065</v>
      </c>
      <c r="K50" s="1">
        <v>-6.50134075808317</v>
      </c>
      <c r="L50" s="1">
        <v>1.07189986885634</v>
      </c>
      <c r="M50" s="1">
        <v>1.08077128014508</v>
      </c>
      <c r="N50" s="1">
        <v>0.939688016370955</v>
      </c>
      <c r="O50" s="1">
        <v>0.811428724308445</v>
      </c>
      <c r="P50" s="1">
        <v>0.984106428721929</v>
      </c>
      <c r="S50" s="2">
        <v>51.2808131631212</v>
      </c>
      <c r="T50" s="2">
        <v>18.0434264943902</v>
      </c>
      <c r="U50" s="2">
        <v>1.08902619789289</v>
      </c>
      <c r="V50" s="2">
        <v>1.02628024779258</v>
      </c>
      <c r="W50" s="2">
        <v>0.825173562264169</v>
      </c>
      <c r="X50" s="2">
        <v>0.424812080209529</v>
      </c>
      <c r="AA50" s="1">
        <v>-8.49804199328338</v>
      </c>
      <c r="AB50" s="1">
        <v>0.278916425780097</v>
      </c>
      <c r="AC50" s="1">
        <v>1.05338067245967</v>
      </c>
      <c r="AD50" s="1">
        <v>0.81390881258825</v>
      </c>
      <c r="AE50" s="1">
        <v>0.72927475708219</v>
      </c>
      <c r="AF50" s="1">
        <v>1</v>
      </c>
    </row>
    <row r="51" spans="2:32">
      <c r="B51" s="1">
        <v>2066</v>
      </c>
      <c r="C51">
        <v>54.7540774381239</v>
      </c>
      <c r="F51">
        <v>926.054545928577</v>
      </c>
      <c r="H51">
        <v>12.5592337978329</v>
      </c>
      <c r="I51" s="1">
        <v>2066</v>
      </c>
      <c r="K51" s="1">
        <v>-6.76364839479481</v>
      </c>
      <c r="L51" s="1">
        <v>1.06292273333445</v>
      </c>
      <c r="M51" s="1">
        <v>1.08238208786988</v>
      </c>
      <c r="N51" s="1">
        <v>0.953239639355627</v>
      </c>
      <c r="O51" s="1">
        <v>0.859541527410095</v>
      </c>
      <c r="P51" s="1">
        <v>0.985789197317171</v>
      </c>
      <c r="S51" s="2">
        <v>51.7339674104227</v>
      </c>
      <c r="T51" s="2">
        <v>18.3143326229871</v>
      </c>
      <c r="U51" s="2">
        <v>1.08951341268136</v>
      </c>
      <c r="V51" s="2">
        <v>1.03644731440133</v>
      </c>
      <c r="W51" s="2">
        <v>0.883202315839989</v>
      </c>
      <c r="X51" s="2">
        <v>0.42479865969187</v>
      </c>
      <c r="AA51" s="1">
        <v>-8.77179906825698</v>
      </c>
      <c r="AB51" s="1">
        <v>0.259462785764884</v>
      </c>
      <c r="AC51" s="1">
        <v>1.05795377355187</v>
      </c>
      <c r="AD51" s="1">
        <v>0.830847411644812</v>
      </c>
      <c r="AE51" s="1">
        <v>0.762970437365554</v>
      </c>
      <c r="AF51" s="1">
        <v>1</v>
      </c>
    </row>
    <row r="52" spans="2:32">
      <c r="B52" s="1">
        <v>2067</v>
      </c>
      <c r="C52">
        <v>55.5774635223717</v>
      </c>
      <c r="F52">
        <v>939.512500604362</v>
      </c>
      <c r="H52">
        <v>16.3916511463489</v>
      </c>
      <c r="I52" s="1">
        <v>2067</v>
      </c>
      <c r="K52" s="1">
        <v>-6.7852981966574</v>
      </c>
      <c r="L52" s="1">
        <v>1.12219693508737</v>
      </c>
      <c r="M52" s="1">
        <v>1.08372067271081</v>
      </c>
      <c r="N52" s="1">
        <v>0.965608672461095</v>
      </c>
      <c r="O52" s="1">
        <v>0.909755540036033</v>
      </c>
      <c r="P52" s="1">
        <v>0.985219979932165</v>
      </c>
      <c r="S52" s="2">
        <v>52.1516115768667</v>
      </c>
      <c r="T52" s="2">
        <v>18.5795109618896</v>
      </c>
      <c r="U52" s="2">
        <v>1.0898772730202</v>
      </c>
      <c r="V52" s="2">
        <v>1.04517093343641</v>
      </c>
      <c r="W52" s="2">
        <v>0.943765047188931</v>
      </c>
      <c r="X52" s="2">
        <v>0.424871364934535</v>
      </c>
      <c r="AA52" s="1">
        <v>-8.66323614141759</v>
      </c>
      <c r="AB52" s="1">
        <v>0.343920024884127</v>
      </c>
      <c r="AC52" s="1">
        <v>1.06193024252855</v>
      </c>
      <c r="AD52" s="1">
        <v>0.846894405104497</v>
      </c>
      <c r="AE52" s="1">
        <v>0.797796143092239</v>
      </c>
      <c r="AF52" s="1">
        <v>1</v>
      </c>
    </row>
    <row r="53" spans="2:32">
      <c r="B53" s="1">
        <v>2068</v>
      </c>
      <c r="C53">
        <v>56.0550188455057</v>
      </c>
      <c r="F53">
        <v>952.674607146785</v>
      </c>
      <c r="H53">
        <v>18.5094202374821</v>
      </c>
      <c r="I53" s="1">
        <v>2068</v>
      </c>
      <c r="K53" s="1">
        <v>-7.11385605714615</v>
      </c>
      <c r="L53" s="1">
        <v>1.09575734697279</v>
      </c>
      <c r="M53" s="1">
        <v>1.08483358351307</v>
      </c>
      <c r="N53" s="1">
        <v>0.976861419121996</v>
      </c>
      <c r="O53" s="1">
        <v>0.96204726900819</v>
      </c>
      <c r="P53" s="1">
        <v>0.987520452522588</v>
      </c>
      <c r="S53" s="2">
        <v>52.5341900634803</v>
      </c>
      <c r="T53" s="2">
        <v>18.8387166138795</v>
      </c>
      <c r="U53" s="2">
        <v>1.09014833545031</v>
      </c>
      <c r="V53" s="2">
        <v>1.05262103983831</v>
      </c>
      <c r="W53" s="2">
        <v>1.00665253641202</v>
      </c>
      <c r="X53" s="2">
        <v>0.425027516800371</v>
      </c>
      <c r="AA53" s="1">
        <v>-8.65826743323887</v>
      </c>
      <c r="AB53" s="1">
        <v>0.399893189369247</v>
      </c>
      <c r="AC53" s="1">
        <v>1.06539184337172</v>
      </c>
      <c r="AD53" s="1">
        <v>0.862069969860627</v>
      </c>
      <c r="AE53" s="1">
        <v>0.833777039747503</v>
      </c>
      <c r="AF53" s="1">
        <v>1</v>
      </c>
    </row>
    <row r="54" spans="2:32">
      <c r="B54" s="1">
        <v>2069</v>
      </c>
      <c r="C54">
        <v>56.2259675827599</v>
      </c>
      <c r="F54">
        <v>965.525407494296</v>
      </c>
      <c r="H54">
        <v>19.0373816992974</v>
      </c>
      <c r="I54" s="1">
        <v>2069</v>
      </c>
      <c r="K54" s="1">
        <v>-7.19452935891841</v>
      </c>
      <c r="L54" s="1">
        <v>1.14004192888559</v>
      </c>
      <c r="M54" s="1">
        <v>1.08576247132891</v>
      </c>
      <c r="N54" s="1">
        <v>0.987100789512462</v>
      </c>
      <c r="O54" s="1">
        <v>1.0164824974913</v>
      </c>
      <c r="P54" s="1">
        <v>0.987525256226878</v>
      </c>
      <c r="S54" s="2">
        <v>52.8824578288348</v>
      </c>
      <c r="T54" s="2">
        <v>19.0916288748513</v>
      </c>
      <c r="U54" s="2">
        <v>1.09034975350325</v>
      </c>
      <c r="V54" s="2">
        <v>1.05895616342336</v>
      </c>
      <c r="W54" s="2">
        <v>1.07159423122097</v>
      </c>
      <c r="X54" s="2">
        <v>0.425263741960965</v>
      </c>
      <c r="AA54" s="1">
        <v>-8.81382425651366</v>
      </c>
      <c r="AB54" s="1">
        <v>0.411944427221059</v>
      </c>
      <c r="AC54" s="1">
        <v>1.06840729468785</v>
      </c>
      <c r="AD54" s="1">
        <v>0.876390734763822</v>
      </c>
      <c r="AE54" s="1">
        <v>0.870916649545842</v>
      </c>
      <c r="AF54" s="1">
        <v>1</v>
      </c>
    </row>
    <row r="55" spans="2:32">
      <c r="B55" s="1">
        <v>2070</v>
      </c>
      <c r="C55">
        <v>56.1140801282867</v>
      </c>
      <c r="F55">
        <v>978.101234331031</v>
      </c>
      <c r="H55">
        <v>19.0338525100305</v>
      </c>
      <c r="I55" s="1">
        <v>2070</v>
      </c>
      <c r="K55" s="1">
        <v>-7.53463319182751</v>
      </c>
      <c r="L55" s="1">
        <v>1.11201466778003</v>
      </c>
      <c r="M55" s="1">
        <v>1.08653846292743</v>
      </c>
      <c r="N55" s="1">
        <v>0.996395734659485</v>
      </c>
      <c r="O55" s="1">
        <v>1.0730368103561</v>
      </c>
      <c r="P55" s="1">
        <v>0.989904226196819</v>
      </c>
      <c r="S55" s="2">
        <v>53.2407354203362</v>
      </c>
      <c r="T55" s="2">
        <v>19.3512386836607</v>
      </c>
      <c r="U55" s="2">
        <v>1.0904983320623</v>
      </c>
      <c r="V55" s="2">
        <v>1.06429667147977</v>
      </c>
      <c r="W55" s="2">
        <v>1.13786545471282</v>
      </c>
      <c r="X55" s="2">
        <v>0.425172679590691</v>
      </c>
      <c r="AA55" s="1">
        <v>-9.01688551750248</v>
      </c>
      <c r="AB55" s="1">
        <v>0.410988950926058</v>
      </c>
      <c r="AC55" s="1">
        <v>1.07103670161387</v>
      </c>
      <c r="AD55" s="1">
        <v>0.889880708053407</v>
      </c>
      <c r="AE55" s="1">
        <v>0.909222136941273</v>
      </c>
      <c r="AF55" s="1">
        <v>1</v>
      </c>
    </row>
    <row r="56" spans="2:32">
      <c r="B56" s="1">
        <v>2071</v>
      </c>
      <c r="C56">
        <v>57.1256180107378</v>
      </c>
      <c r="F56">
        <v>991.581448856246</v>
      </c>
      <c r="H56">
        <v>19.9817264248449</v>
      </c>
      <c r="I56" s="1">
        <v>2071</v>
      </c>
      <c r="K56" s="1">
        <v>-7.61628449757997</v>
      </c>
      <c r="L56" s="1">
        <v>1.15808929245579</v>
      </c>
      <c r="M56" s="1">
        <v>1.08718887272611</v>
      </c>
      <c r="N56" s="1">
        <v>1.0048343547726</v>
      </c>
      <c r="O56" s="1">
        <v>1.13172960702382</v>
      </c>
      <c r="P56" s="1">
        <v>0.989936485798679</v>
      </c>
      <c r="S56" s="2">
        <v>53.6169133087292</v>
      </c>
      <c r="T56" s="2">
        <v>19.6158332499973</v>
      </c>
      <c r="U56" s="2">
        <v>1.09060835256459</v>
      </c>
      <c r="V56" s="2">
        <v>1.06880791593298</v>
      </c>
      <c r="W56" s="2">
        <v>1.20543785446056</v>
      </c>
      <c r="X56" s="2">
        <v>0.425405246751356</v>
      </c>
      <c r="AA56" s="1">
        <v>-9.13749481917686</v>
      </c>
      <c r="AB56" s="1">
        <v>0.432557701265331</v>
      </c>
      <c r="AC56" s="1">
        <v>1.0733320745272</v>
      </c>
      <c r="AD56" s="1">
        <v>0.902568063527463</v>
      </c>
      <c r="AE56" s="1">
        <v>0.948701604804359</v>
      </c>
      <c r="AF56" s="1">
        <v>1</v>
      </c>
    </row>
    <row r="57" spans="2:32">
      <c r="B57" s="1">
        <v>2072</v>
      </c>
      <c r="C57">
        <v>57.7644267630907</v>
      </c>
      <c r="F57">
        <v>1004.65711097148</v>
      </c>
      <c r="H57">
        <v>20.0988023464553</v>
      </c>
      <c r="I57" s="1">
        <v>2072</v>
      </c>
      <c r="K57" s="1">
        <v>-7.9392384850908</v>
      </c>
      <c r="L57" s="1">
        <v>1.13695376252017</v>
      </c>
      <c r="M57" s="1">
        <v>1.08773467560731</v>
      </c>
      <c r="N57" s="1">
        <v>1.01248251130857</v>
      </c>
      <c r="O57" s="1">
        <v>1.19253003556644</v>
      </c>
      <c r="P57" s="1">
        <v>0.992135166482816</v>
      </c>
      <c r="S57" s="2">
        <v>53.9737661498456</v>
      </c>
      <c r="T57" s="2">
        <v>19.8762876943371</v>
      </c>
      <c r="U57" s="2">
        <v>1.09068946584471</v>
      </c>
      <c r="V57" s="2">
        <v>1.07259962516655</v>
      </c>
      <c r="W57" s="2">
        <v>1.27372853676673</v>
      </c>
      <c r="X57" s="2">
        <v>0.425586156943161</v>
      </c>
      <c r="AA57" s="1">
        <v>-9.33030336005102</v>
      </c>
      <c r="AB57" s="1">
        <v>0.434554665820524</v>
      </c>
      <c r="AC57" s="1">
        <v>1.07533832627879</v>
      </c>
      <c r="AD57" s="1">
        <v>0.914484068354321</v>
      </c>
      <c r="AE57" s="1">
        <v>0.989360460292236</v>
      </c>
      <c r="AF57" s="1">
        <v>1</v>
      </c>
    </row>
    <row r="58" spans="2:32">
      <c r="B58" s="1">
        <v>2073</v>
      </c>
      <c r="C58">
        <v>58.0872175084067</v>
      </c>
      <c r="F58">
        <v>1017.23807969016</v>
      </c>
      <c r="H58">
        <v>19.9027852735571</v>
      </c>
      <c r="I58" s="1">
        <v>2073</v>
      </c>
      <c r="K58" s="1">
        <v>-8.07210278769906</v>
      </c>
      <c r="L58" s="1">
        <v>1.17092840053556</v>
      </c>
      <c r="M58" s="1">
        <v>1.08819430294603</v>
      </c>
      <c r="N58" s="1">
        <v>1.01941921497029</v>
      </c>
      <c r="O58" s="1">
        <v>1.25545896451339</v>
      </c>
      <c r="P58" s="1">
        <v>0.992616607119654</v>
      </c>
      <c r="S58" s="2">
        <v>54.2918354963247</v>
      </c>
      <c r="T58" s="2">
        <v>20.1246955556284</v>
      </c>
      <c r="U58" s="2">
        <v>1.09074917509844</v>
      </c>
      <c r="V58" s="2">
        <v>1.07577976613172</v>
      </c>
      <c r="W58" s="2">
        <v>1.34218044732938</v>
      </c>
      <c r="X58" s="2">
        <v>0.425912934406387</v>
      </c>
      <c r="AA58" s="1">
        <v>-9.55023243234657</v>
      </c>
      <c r="AB58" s="1">
        <v>0.429349272276168</v>
      </c>
      <c r="AC58" s="1">
        <v>1.07709415327432</v>
      </c>
      <c r="AD58" s="1">
        <v>0.925661932185455</v>
      </c>
      <c r="AE58" s="1">
        <v>1.03120203200182</v>
      </c>
      <c r="AF58" s="1">
        <v>1</v>
      </c>
    </row>
    <row r="59" spans="2:32">
      <c r="B59" s="1">
        <v>2074</v>
      </c>
      <c r="C59">
        <v>58.0918201654568</v>
      </c>
      <c r="F59">
        <v>1029.29998790759</v>
      </c>
      <c r="H59">
        <v>19.5707154251412</v>
      </c>
      <c r="I59" s="1">
        <v>2074</v>
      </c>
      <c r="K59" s="1">
        <v>-8.41151570477655</v>
      </c>
      <c r="L59" s="1">
        <v>1.14744561495895</v>
      </c>
      <c r="M59" s="1">
        <v>1.08858198054362</v>
      </c>
      <c r="N59" s="1">
        <v>1.02570490941165</v>
      </c>
      <c r="O59" s="1">
        <v>1.32045959808466</v>
      </c>
      <c r="P59" s="1">
        <v>0.994914992802432</v>
      </c>
      <c r="S59" s="2">
        <v>54.5794492096011</v>
      </c>
      <c r="T59" s="2">
        <v>20.3624406812132</v>
      </c>
      <c r="U59" s="2">
        <v>1.09079302000177</v>
      </c>
      <c r="V59" s="2">
        <v>1.07843989179319</v>
      </c>
      <c r="W59" s="2">
        <v>1.41022626592476</v>
      </c>
      <c r="X59" s="2">
        <v>0.42632026348581</v>
      </c>
      <c r="AA59" s="1">
        <v>-9.78231480945715</v>
      </c>
      <c r="AB59" s="1">
        <v>0.421102876425114</v>
      </c>
      <c r="AC59" s="1">
        <v>1.07863316797049</v>
      </c>
      <c r="AD59" s="1">
        <v>0.936138034938544</v>
      </c>
      <c r="AE59" s="1">
        <v>1.07423571245894</v>
      </c>
      <c r="AF59" s="1">
        <v>1</v>
      </c>
    </row>
    <row r="60" spans="2:32">
      <c r="B60" s="1">
        <v>2075</v>
      </c>
      <c r="C60">
        <v>57.8594133866148</v>
      </c>
      <c r="F60">
        <v>1040.80840914034</v>
      </c>
      <c r="H60">
        <v>19.1685227891362</v>
      </c>
      <c r="I60" s="1">
        <v>2075</v>
      </c>
      <c r="K60" s="1">
        <v>-8.60756080557134</v>
      </c>
      <c r="L60" s="1">
        <v>1.16595440561837</v>
      </c>
      <c r="M60" s="1">
        <v>1.08891000735115</v>
      </c>
      <c r="N60" s="1">
        <v>1.03140508771071</v>
      </c>
      <c r="O60" s="1">
        <v>1.38748301913895</v>
      </c>
      <c r="P60" s="1">
        <v>0.99592804022862</v>
      </c>
      <c r="S60" s="2">
        <v>54.8389825118348</v>
      </c>
      <c r="T60" s="2">
        <v>20.589022644787</v>
      </c>
      <c r="U60" s="2">
        <v>1.09082512567216</v>
      </c>
      <c r="V60" s="2">
        <v>1.08065902974874</v>
      </c>
      <c r="W60" s="2">
        <v>1.47734439243736</v>
      </c>
      <c r="X60" s="2">
        <v>0.426798997401618</v>
      </c>
      <c r="AA60" s="1">
        <v>-10.0214156684206</v>
      </c>
      <c r="AB60" s="1">
        <v>0.411286881149798</v>
      </c>
      <c r="AC60" s="1">
        <v>1.07998417185805</v>
      </c>
      <c r="AD60" s="1">
        <v>0.94594854054466</v>
      </c>
      <c r="AE60" s="1">
        <v>1.1184675328618</v>
      </c>
      <c r="AF60" s="1">
        <v>1</v>
      </c>
    </row>
    <row r="61" spans="2:32">
      <c r="B61" s="1">
        <v>2076</v>
      </c>
      <c r="C61">
        <v>57.3675331446149</v>
      </c>
      <c r="F61">
        <v>1051.7289579502</v>
      </c>
      <c r="H61">
        <v>18.7240641913056</v>
      </c>
      <c r="I61" s="1">
        <v>2076</v>
      </c>
      <c r="K61" s="1">
        <v>-8.95612254908668</v>
      </c>
      <c r="L61" s="1">
        <v>1.14221873046716</v>
      </c>
      <c r="M61" s="1">
        <v>1.08918804430826</v>
      </c>
      <c r="N61" s="1">
        <v>1.03657205308918</v>
      </c>
      <c r="O61" s="1">
        <v>1.45649224286065</v>
      </c>
      <c r="P61" s="1">
        <v>0.998255516246078</v>
      </c>
      <c r="S61" s="2">
        <v>55.0727100661463</v>
      </c>
      <c r="T61" s="2">
        <v>20.8039083876613</v>
      </c>
      <c r="U61" s="2">
        <v>1.09084856308615</v>
      </c>
      <c r="V61" s="2">
        <v>1.08250522932052</v>
      </c>
      <c r="W61" s="2">
        <v>1.54301243769678</v>
      </c>
      <c r="X61" s="2">
        <v>0.42734149467779</v>
      </c>
      <c r="AA61" s="1">
        <v>-10.2654424514232</v>
      </c>
      <c r="AB61" s="1">
        <v>0.400535006098541</v>
      </c>
      <c r="AC61" s="1">
        <v>1.0811718875755</v>
      </c>
      <c r="AD61" s="1">
        <v>0.955129144315873</v>
      </c>
      <c r="AE61" s="1">
        <v>1.16390009732259</v>
      </c>
      <c r="AF61" s="1">
        <v>1</v>
      </c>
    </row>
    <row r="62" spans="2:32">
      <c r="B62" s="1">
        <v>2077</v>
      </c>
      <c r="C62">
        <v>56.7071002700998</v>
      </c>
      <c r="F62">
        <v>1062.0281796309</v>
      </c>
      <c r="H62">
        <v>18.2513681837451</v>
      </c>
      <c r="I62" s="1">
        <v>2077</v>
      </c>
      <c r="K62" s="1">
        <v>-9.22528974640985</v>
      </c>
      <c r="L62" s="1">
        <v>1.14234452190795</v>
      </c>
      <c r="M62" s="1">
        <v>1.08942432619758</v>
      </c>
      <c r="N62" s="1">
        <v>1.04125827963344</v>
      </c>
      <c r="O62" s="1">
        <v>1.52744819464821</v>
      </c>
      <c r="P62" s="1">
        <v>0.99986787936886</v>
      </c>
      <c r="S62" s="2">
        <v>55.28240340889</v>
      </c>
      <c r="T62" s="2">
        <v>21.0064473361975</v>
      </c>
      <c r="U62" s="2">
        <v>1.09086561682394</v>
      </c>
      <c r="V62" s="2">
        <v>1.0840369906381</v>
      </c>
      <c r="W62" s="2">
        <v>1.60672940656063</v>
      </c>
      <c r="X62" s="2">
        <v>0.427944718020141</v>
      </c>
      <c r="AA62" s="1">
        <v>-10.5134073824741</v>
      </c>
      <c r="AB62" s="1">
        <v>0.389171770883177</v>
      </c>
      <c r="AC62" s="1">
        <v>1.08221756804572</v>
      </c>
      <c r="AD62" s="1">
        <v>0.963714814953826</v>
      </c>
      <c r="AE62" s="1">
        <v>1.21053231037657</v>
      </c>
      <c r="AF62" s="1">
        <v>1</v>
      </c>
    </row>
    <row r="63" spans="2:32">
      <c r="B63" s="1">
        <v>2078</v>
      </c>
      <c r="C63">
        <v>55.9808188695939</v>
      </c>
      <c r="F63">
        <v>1071.6760957006</v>
      </c>
      <c r="H63">
        <v>17.7590424022931</v>
      </c>
      <c r="I63" s="1">
        <v>2078</v>
      </c>
      <c r="K63" s="1">
        <v>-9.58369281584716</v>
      </c>
      <c r="L63" s="1">
        <v>1.12162767710395</v>
      </c>
      <c r="M63" s="1">
        <v>1.08962550554306</v>
      </c>
      <c r="N63" s="1">
        <v>1.0455085025167</v>
      </c>
      <c r="O63" s="1">
        <v>1.60022807336614</v>
      </c>
      <c r="P63" s="1">
        <v>1</v>
      </c>
      <c r="S63" s="2">
        <v>55.4696558911352</v>
      </c>
      <c r="T63" s="2">
        <v>21.196029026062</v>
      </c>
      <c r="U63" s="2">
        <v>1.09087798309587</v>
      </c>
      <c r="V63" s="2">
        <v>1.08530442940928</v>
      </c>
      <c r="W63" s="2">
        <v>1.66803379065022</v>
      </c>
      <c r="X63" s="2">
        <v>0.428606690074295</v>
      </c>
      <c r="AA63" s="1">
        <v>-10.7647535167169</v>
      </c>
      <c r="AB63" s="1">
        <v>0.377396372193313</v>
      </c>
      <c r="AC63" s="1">
        <v>1.08313951173463</v>
      </c>
      <c r="AD63" s="1">
        <v>0.971739592515161</v>
      </c>
      <c r="AE63" s="1">
        <v>1.25835913613904</v>
      </c>
      <c r="AF63" s="1">
        <v>1</v>
      </c>
    </row>
    <row r="64" spans="2:32">
      <c r="B64" s="1">
        <v>2079</v>
      </c>
      <c r="C64">
        <v>55.1125311733979</v>
      </c>
      <c r="F64">
        <v>1080.64785252044</v>
      </c>
      <c r="H64">
        <v>17.2549823447207</v>
      </c>
      <c r="I64" s="1">
        <v>2079</v>
      </c>
      <c r="K64" s="1">
        <v>-9.91391774131469</v>
      </c>
      <c r="L64" s="1">
        <v>1.1101252755452</v>
      </c>
      <c r="M64" s="1">
        <v>1.08979718125644</v>
      </c>
      <c r="N64" s="1">
        <v>1.04936500811096</v>
      </c>
      <c r="O64" s="1">
        <v>1.67475883380907</v>
      </c>
      <c r="P64" s="1">
        <v>1</v>
      </c>
      <c r="S64" s="2">
        <v>55.6359652470069</v>
      </c>
      <c r="T64" s="2">
        <v>21.3721515761707</v>
      </c>
      <c r="U64" s="2">
        <v>1.09088691815454</v>
      </c>
      <c r="V64" s="2">
        <v>1.08635031698976</v>
      </c>
      <c r="W64" s="2">
        <v>1.72651865251663</v>
      </c>
      <c r="X64" s="2">
        <v>0.429325337339936</v>
      </c>
      <c r="AA64" s="1">
        <v>-11.0190756277349</v>
      </c>
      <c r="AB64" s="1">
        <v>0.365320737831895</v>
      </c>
      <c r="AC64" s="1">
        <v>1.08395349811049</v>
      </c>
      <c r="AD64" s="1">
        <v>0.979236431776336</v>
      </c>
      <c r="AE64" s="1">
        <v>1.30733325187276</v>
      </c>
      <c r="AF64" s="1">
        <v>1</v>
      </c>
    </row>
    <row r="65" spans="2:32">
      <c r="B65" s="1">
        <v>2080</v>
      </c>
      <c r="C65">
        <v>54.1266770469319</v>
      </c>
      <c r="F65">
        <v>1088.92473441386</v>
      </c>
      <c r="H65">
        <v>16.7621959106452</v>
      </c>
      <c r="I65" s="1">
        <v>2080</v>
      </c>
      <c r="K65" s="1">
        <v>-10.2867928953946</v>
      </c>
      <c r="L65" s="1">
        <v>1.08826290662903</v>
      </c>
      <c r="M65" s="1">
        <v>1.08994396405582</v>
      </c>
      <c r="N65" s="1">
        <v>1.05286518303572</v>
      </c>
      <c r="O65" s="1">
        <v>1.75094273100874</v>
      </c>
      <c r="P65" s="1">
        <v>1</v>
      </c>
      <c r="S65" s="2">
        <v>55.782685068282</v>
      </c>
      <c r="T65" s="2">
        <v>21.5344374305861</v>
      </c>
      <c r="U65" s="2">
        <v>1.09089334990825</v>
      </c>
      <c r="V65" s="2">
        <v>1.08721103170966</v>
      </c>
      <c r="W65" s="2">
        <v>1.7818441792762</v>
      </c>
      <c r="X65" s="2">
        <v>0.430098622556169</v>
      </c>
      <c r="AA65" s="1">
        <v>-11.2765696931664</v>
      </c>
      <c r="AB65" s="1">
        <v>0.352898696586379</v>
      </c>
      <c r="AC65" s="1">
        <v>1.08467315052228</v>
      </c>
      <c r="AD65" s="1">
        <v>0.986237032806838</v>
      </c>
      <c r="AE65" s="1">
        <v>1.35741661139354</v>
      </c>
      <c r="AF65" s="1">
        <v>1</v>
      </c>
    </row>
    <row r="66" spans="2:32">
      <c r="B66" s="1">
        <v>2081</v>
      </c>
      <c r="C66">
        <v>54.1054359930387</v>
      </c>
      <c r="F66">
        <v>1097.7231781632</v>
      </c>
      <c r="H66">
        <v>17.2688719037609</v>
      </c>
      <c r="I66" s="1">
        <v>2081</v>
      </c>
      <c r="K66" s="1">
        <v>-10.5753745224279</v>
      </c>
      <c r="L66" s="1">
        <v>1.09060156796179</v>
      </c>
      <c r="M66" s="1">
        <v>1.09006971657651</v>
      </c>
      <c r="N66" s="1">
        <v>1.05604332621295</v>
      </c>
      <c r="O66" s="1">
        <v>1.82868157674359</v>
      </c>
      <c r="P66" s="1">
        <v>1</v>
      </c>
      <c r="S66" s="2">
        <v>56.027680798217</v>
      </c>
      <c r="T66" s="2">
        <v>21.7180685150038</v>
      </c>
      <c r="U66" s="2">
        <v>1.09089794099261</v>
      </c>
      <c r="V66" s="2">
        <v>1.08791423774458</v>
      </c>
      <c r="W66" s="2">
        <v>1.83324245855777</v>
      </c>
      <c r="X66" s="2">
        <v>0.430441693561393</v>
      </c>
      <c r="AA66" s="1">
        <v>-11.4523805353145</v>
      </c>
      <c r="AB66" s="1">
        <v>0.363294322415563</v>
      </c>
      <c r="AC66" s="1">
        <v>1.08531026079623</v>
      </c>
      <c r="AD66" s="1">
        <v>0.992771876038373</v>
      </c>
      <c r="AE66" s="1">
        <v>1.4085886952122</v>
      </c>
      <c r="AF66" s="1">
        <v>1</v>
      </c>
    </row>
    <row r="67" spans="2:32">
      <c r="B67" s="1">
        <v>2082</v>
      </c>
      <c r="C67">
        <v>53.8257809897167</v>
      </c>
      <c r="F67">
        <v>1105.66420207257</v>
      </c>
      <c r="H67">
        <v>17.1211803363322</v>
      </c>
      <c r="I67" s="1">
        <v>2082</v>
      </c>
      <c r="K67" s="1">
        <v>-10.9073175725074</v>
      </c>
      <c r="L67" s="1">
        <v>1.08224147876923</v>
      </c>
      <c r="M67" s="1">
        <v>1.09017765415257</v>
      </c>
      <c r="N67" s="1">
        <v>1.05893017044773</v>
      </c>
      <c r="O67" s="1">
        <v>1.90785662848914</v>
      </c>
      <c r="P67" s="1">
        <v>1</v>
      </c>
      <c r="S67" s="2">
        <v>56.2209522450481</v>
      </c>
      <c r="T67" s="2">
        <v>21.875150088599</v>
      </c>
      <c r="U67" s="2">
        <v>1.09090122365423</v>
      </c>
      <c r="V67" s="2">
        <v>1.08848997292077</v>
      </c>
      <c r="W67" s="2">
        <v>1.88094660946144</v>
      </c>
      <c r="X67" s="2">
        <v>0.431135673748923</v>
      </c>
      <c r="AA67" s="1">
        <v>-11.6805552458972</v>
      </c>
      <c r="AB67" s="1">
        <v>0.359964090744812</v>
      </c>
      <c r="AC67" s="1">
        <v>1.08587506269867</v>
      </c>
      <c r="AD67" s="1">
        <v>0.99887028841114</v>
      </c>
      <c r="AE67" s="1">
        <v>1.4608247157888</v>
      </c>
      <c r="AF67" s="1">
        <v>1</v>
      </c>
    </row>
    <row r="68" spans="2:32">
      <c r="B68" s="1">
        <v>2083</v>
      </c>
      <c r="C68">
        <v>53.3147019696098</v>
      </c>
      <c r="F68">
        <v>1112.83708265176</v>
      </c>
      <c r="H68">
        <v>16.7601130046405</v>
      </c>
      <c r="I68" s="1">
        <v>2083</v>
      </c>
      <c r="K68" s="1">
        <v>-11.2429278062362</v>
      </c>
      <c r="L68" s="1">
        <v>1.07391582821327</v>
      </c>
      <c r="M68" s="1">
        <v>1.0902704786792</v>
      </c>
      <c r="N68" s="1">
        <v>1.06155373596555</v>
      </c>
      <c r="O68" s="1">
        <v>1.98834465163293</v>
      </c>
      <c r="P68" s="1">
        <v>1</v>
      </c>
      <c r="S68" s="2">
        <v>56.385932507947</v>
      </c>
      <c r="T68" s="2">
        <v>22.0141330303809</v>
      </c>
      <c r="U68" s="2">
        <v>1.09090356450757</v>
      </c>
      <c r="V68" s="2">
        <v>1.08896064993328</v>
      </c>
      <c r="W68" s="2">
        <v>1.92497594636769</v>
      </c>
      <c r="X68" s="2">
        <v>0.431968553663088</v>
      </c>
      <c r="AA68" s="1">
        <v>-11.931902693587</v>
      </c>
      <c r="AB68" s="1">
        <v>0.350873747770083</v>
      </c>
      <c r="AC68" s="1">
        <v>1.08637640531874</v>
      </c>
      <c r="AD68" s="1">
        <v>1.00455988426103</v>
      </c>
      <c r="AE68" s="1">
        <v>1.5140927382595</v>
      </c>
      <c r="AF68" s="1">
        <v>1</v>
      </c>
    </row>
    <row r="69" spans="2:32">
      <c r="B69" s="1">
        <v>2084</v>
      </c>
      <c r="C69">
        <v>52.6069548767418</v>
      </c>
      <c r="F69">
        <v>1119.28914181472</v>
      </c>
      <c r="H69">
        <v>16.3235813370064</v>
      </c>
      <c r="I69" s="1">
        <v>2084</v>
      </c>
      <c r="K69" s="1">
        <v>-11.6040076259292</v>
      </c>
      <c r="L69" s="1">
        <v>1.05956681100694</v>
      </c>
      <c r="M69" s="1">
        <v>1.09035045084227</v>
      </c>
      <c r="N69" s="1">
        <v>1.06393914299433</v>
      </c>
      <c r="O69" s="1">
        <v>2.07000656969648</v>
      </c>
      <c r="P69" s="1">
        <v>1</v>
      </c>
      <c r="S69" s="2">
        <v>56.5348837874767</v>
      </c>
      <c r="T69" s="2">
        <v>22.1393606891332</v>
      </c>
      <c r="U69" s="2">
        <v>1.09090522600589</v>
      </c>
      <c r="V69" s="2">
        <v>1.08934422188498</v>
      </c>
      <c r="W69" s="2">
        <v>1.96528380003795</v>
      </c>
      <c r="X69" s="2">
        <v>0.432833598829559</v>
      </c>
      <c r="AA69" s="1">
        <v>-12.1919577770968</v>
      </c>
      <c r="AB69" s="1">
        <v>0.339966548921268</v>
      </c>
      <c r="AC69" s="1">
        <v>1.08682198731713</v>
      </c>
      <c r="AD69" s="1">
        <v>1.00986698621178</v>
      </c>
      <c r="AE69" s="1">
        <v>1.56835696914603</v>
      </c>
      <c r="AF69" s="1">
        <v>1</v>
      </c>
    </row>
    <row r="70" spans="2:32">
      <c r="B70" s="1">
        <v>2085</v>
      </c>
      <c r="C70">
        <v>51.7307233751768</v>
      </c>
      <c r="F70">
        <v>1125.03607699434</v>
      </c>
      <c r="H70">
        <v>15.8555555892858</v>
      </c>
      <c r="I70" s="1">
        <v>2085</v>
      </c>
      <c r="K70" s="1">
        <v>-11.977147126772</v>
      </c>
      <c r="L70" s="1">
        <v>1.0427292950722</v>
      </c>
      <c r="M70" s="1">
        <v>1.09041947425206</v>
      </c>
      <c r="N70" s="1">
        <v>1.0661091299065</v>
      </c>
      <c r="O70" s="1">
        <v>2.15269536185147</v>
      </c>
      <c r="P70" s="1">
        <v>1</v>
      </c>
      <c r="S70" s="2">
        <v>56.6690077025127</v>
      </c>
      <c r="T70" s="2">
        <v>22.2513400758878</v>
      </c>
      <c r="U70" s="2">
        <v>1.09090639972612</v>
      </c>
      <c r="V70" s="2">
        <v>1.0896557993129</v>
      </c>
      <c r="W70" s="2">
        <v>2.00189093830529</v>
      </c>
      <c r="X70" s="2">
        <v>0.433723363998141</v>
      </c>
      <c r="AA70" s="1">
        <v>-12.4564955123976</v>
      </c>
      <c r="AB70" s="1">
        <v>0.328386146524898</v>
      </c>
      <c r="AC70" s="1">
        <v>1.08721850957186</v>
      </c>
      <c r="AD70" s="1">
        <v>1.0148165424722</v>
      </c>
      <c r="AE70" s="1">
        <v>1.62357714331655</v>
      </c>
      <c r="AF70" s="1">
        <v>1</v>
      </c>
    </row>
    <row r="71" spans="2:32">
      <c r="B71" s="1">
        <v>2086</v>
      </c>
      <c r="C71">
        <v>50.7120708472417</v>
      </c>
      <c r="F71">
        <v>1130.09027370828</v>
      </c>
      <c r="H71">
        <v>15.371906222002</v>
      </c>
      <c r="I71" s="1">
        <v>2086</v>
      </c>
      <c r="K71" s="1">
        <v>-12.3659898071233</v>
      </c>
      <c r="L71" s="1">
        <v>1.02227428878083</v>
      </c>
      <c r="M71" s="1">
        <v>1.09047915211626</v>
      </c>
      <c r="N71" s="1">
        <v>1.06808417901787</v>
      </c>
      <c r="O71" s="1">
        <v>2.23625363231668</v>
      </c>
      <c r="P71" s="1">
        <v>1</v>
      </c>
      <c r="S71" s="2">
        <v>56.7860883978012</v>
      </c>
      <c r="T71" s="2">
        <v>22.3495632915851</v>
      </c>
      <c r="U71" s="2">
        <v>1.09090722523433</v>
      </c>
      <c r="V71" s="2">
        <v>1.08990816576314</v>
      </c>
      <c r="W71" s="2">
        <v>2.0349139786129</v>
      </c>
      <c r="X71" s="2">
        <v>0.434659023777732</v>
      </c>
      <c r="AA71" s="1">
        <v>-12.7240050121039</v>
      </c>
      <c r="AB71" s="1">
        <v>0.316529193767774</v>
      </c>
      <c r="AC71" s="1">
        <v>1.08757181175312</v>
      </c>
      <c r="AD71" s="1">
        <v>1.01943212985638</v>
      </c>
      <c r="AE71" s="1">
        <v>1.67970843727754</v>
      </c>
      <c r="AF71" s="1">
        <v>1</v>
      </c>
    </row>
    <row r="72" spans="2:32">
      <c r="B72" s="1">
        <v>2087</v>
      </c>
      <c r="C72">
        <v>49.5729912349738</v>
      </c>
      <c r="F72">
        <v>1134.47270769864</v>
      </c>
      <c r="H72">
        <v>14.8797431273475</v>
      </c>
      <c r="I72" s="1">
        <v>2087</v>
      </c>
      <c r="K72" s="1">
        <v>-12.7656440257919</v>
      </c>
      <c r="L72" s="1">
        <v>0.999390841126892</v>
      </c>
      <c r="M72" s="1">
        <v>1.09053083880764</v>
      </c>
      <c r="N72" s="1">
        <v>1.06988278259774</v>
      </c>
      <c r="O72" s="1">
        <v>2.32051649948294</v>
      </c>
      <c r="P72" s="1">
        <v>1</v>
      </c>
      <c r="S72" s="2">
        <v>56.8844821669092</v>
      </c>
      <c r="T72" s="2">
        <v>22.4339085204795</v>
      </c>
      <c r="U72" s="2">
        <v>1.09090780337663</v>
      </c>
      <c r="V72" s="2">
        <v>1.09011202297536</v>
      </c>
      <c r="W72" s="2">
        <v>2.06454197725237</v>
      </c>
      <c r="X72" s="2">
        <v>0.43565489488651</v>
      </c>
      <c r="AA72" s="1">
        <v>-12.9938056127466</v>
      </c>
      <c r="AB72" s="1">
        <v>0.30455932294021</v>
      </c>
      <c r="AC72" s="1">
        <v>1.08788698997568</v>
      </c>
      <c r="AD72" s="1">
        <v>1.02373598036067</v>
      </c>
      <c r="AE72" s="1">
        <v>1.73670151971656</v>
      </c>
      <c r="AF72" s="1">
        <v>1</v>
      </c>
    </row>
    <row r="73" spans="2:32">
      <c r="B73" s="1">
        <v>2088</v>
      </c>
      <c r="C73">
        <v>48.3324208550378</v>
      </c>
      <c r="F73">
        <v>1138.341577949</v>
      </c>
      <c r="H73">
        <v>14.3830119566138</v>
      </c>
      <c r="I73" s="1">
        <v>2088</v>
      </c>
      <c r="K73" s="1">
        <v>-13.1752785257722</v>
      </c>
      <c r="L73" s="1">
        <v>0.974151606828225</v>
      </c>
      <c r="M73" s="1">
        <v>1.0905756802047</v>
      </c>
      <c r="N73" s="1">
        <v>1.07152161753248</v>
      </c>
      <c r="O73" s="1">
        <v>2.40531208884711</v>
      </c>
      <c r="P73" s="1">
        <v>1</v>
      </c>
      <c r="S73" s="2">
        <v>57.012620648711</v>
      </c>
      <c r="T73" s="2">
        <v>22.521577545428</v>
      </c>
      <c r="U73" s="2">
        <v>1.09090820420289</v>
      </c>
      <c r="V73" s="2">
        <v>1.09027530306834</v>
      </c>
      <c r="W73" s="2">
        <v>2.09048777034993</v>
      </c>
      <c r="X73" s="2">
        <v>0.436291111786528</v>
      </c>
      <c r="AA73" s="1">
        <v>-13.2654776233708</v>
      </c>
      <c r="AB73" s="1">
        <v>0.292562671738297</v>
      </c>
      <c r="AC73" s="1">
        <v>1.08816849765798</v>
      </c>
      <c r="AD73" s="1">
        <v>1.02774901990394</v>
      </c>
      <c r="AE73" s="1">
        <v>1.79450268782296</v>
      </c>
      <c r="AF73" s="1">
        <v>1</v>
      </c>
    </row>
    <row r="74" spans="2:32">
      <c r="B74" s="1">
        <v>2089</v>
      </c>
      <c r="C74">
        <v>47.0064892485957</v>
      </c>
      <c r="F74">
        <v>1141.46605942153</v>
      </c>
      <c r="H74">
        <v>13.8842312804794</v>
      </c>
      <c r="I74" s="1">
        <v>2089</v>
      </c>
      <c r="K74" s="1">
        <v>-13.5924660983493</v>
      </c>
      <c r="L74" s="1">
        <v>0.947057527067676</v>
      </c>
      <c r="M74" s="1">
        <v>1.09061464786481</v>
      </c>
      <c r="N74" s="1">
        <v>1.07301573224006</v>
      </c>
      <c r="O74" s="1">
        <v>2.49046335560351</v>
      </c>
      <c r="P74" s="1">
        <v>1</v>
      </c>
      <c r="S74" s="2">
        <v>57.0864705284621</v>
      </c>
      <c r="T74" s="2">
        <v>22.5833257730229</v>
      </c>
      <c r="U74" s="2">
        <v>1.09090848274597</v>
      </c>
      <c r="V74" s="2">
        <v>1.09040646394542</v>
      </c>
      <c r="W74" s="2">
        <v>2.11347257466855</v>
      </c>
      <c r="X74" s="2">
        <v>0.437302752488499</v>
      </c>
      <c r="AA74" s="1">
        <v>-13.5386890148038</v>
      </c>
      <c r="AB74" s="1">
        <v>0.280595463400671</v>
      </c>
      <c r="AC74" s="1">
        <v>1.08842023183629</v>
      </c>
      <c r="AD74" s="1">
        <v>1.03149091296928</v>
      </c>
      <c r="AE74" s="1">
        <v>1.85305404990521</v>
      </c>
      <c r="AF74" s="1">
        <v>1</v>
      </c>
    </row>
    <row r="75" spans="2:32">
      <c r="B75" s="1">
        <v>2090</v>
      </c>
      <c r="C75">
        <v>45.6089206889128</v>
      </c>
      <c r="F75">
        <v>1143.94747898716</v>
      </c>
      <c r="H75">
        <v>13.3854007338492</v>
      </c>
      <c r="I75" s="1">
        <v>2090</v>
      </c>
      <c r="K75" s="1">
        <v>-14.0156838510588</v>
      </c>
      <c r="L75" s="1">
        <v>0.91835749565635</v>
      </c>
      <c r="M75" s="1">
        <v>1.09064856697799</v>
      </c>
      <c r="N75" s="1">
        <v>1.07437870406747</v>
      </c>
      <c r="O75" s="1">
        <v>2.57578945671784</v>
      </c>
      <c r="P75" s="1">
        <v>1</v>
      </c>
      <c r="S75" s="2">
        <v>57.117467251696</v>
      </c>
      <c r="T75" s="2">
        <v>22.6247027636288</v>
      </c>
      <c r="U75" s="2">
        <v>1.09090867609181</v>
      </c>
      <c r="V75" s="2">
        <v>1.09051185740253</v>
      </c>
      <c r="W75" s="2">
        <v>2.13403242310111</v>
      </c>
      <c r="X75" s="2">
        <v>0.438578712541291</v>
      </c>
      <c r="AA75" s="1">
        <v>-13.813172287791</v>
      </c>
      <c r="AB75" s="1">
        <v>0.268690649904285</v>
      </c>
      <c r="AC75" s="1">
        <v>1.08864560709935</v>
      </c>
      <c r="AD75" s="1">
        <v>1.0349801106576</v>
      </c>
      <c r="AE75" s="1">
        <v>1.91229373790852</v>
      </c>
      <c r="AF75" s="1">
        <v>1</v>
      </c>
    </row>
    <row r="76" spans="2:32">
      <c r="B76" s="1">
        <v>2091</v>
      </c>
      <c r="C76">
        <v>45.1057258753439</v>
      </c>
      <c r="F76">
        <v>1147.0204878537</v>
      </c>
      <c r="H76">
        <v>13.8303931440231</v>
      </c>
      <c r="I76" s="1">
        <v>2091</v>
      </c>
      <c r="K76" s="1">
        <v>-14.3703696429452</v>
      </c>
      <c r="L76" s="1">
        <v>0.908219498218755</v>
      </c>
      <c r="M76" s="1">
        <v>1.09067813971313</v>
      </c>
      <c r="N76" s="1">
        <v>1.0756227868847</v>
      </c>
      <c r="O76" s="1">
        <v>2.66111029242416</v>
      </c>
      <c r="P76" s="1">
        <v>1</v>
      </c>
      <c r="S76" s="2">
        <v>57.23407769733</v>
      </c>
      <c r="T76" s="2">
        <v>22.6873664044589</v>
      </c>
      <c r="U76" s="2">
        <v>1.09090880902144</v>
      </c>
      <c r="V76" s="2">
        <v>1.09059591362798</v>
      </c>
      <c r="W76" s="2">
        <v>2.15193365157395</v>
      </c>
      <c r="X76" s="2">
        <v>0.43947796806546</v>
      </c>
      <c r="AA76" s="1">
        <v>-14.0143525047493</v>
      </c>
      <c r="AB76" s="1">
        <v>0.277143694790616</v>
      </c>
      <c r="AC76" s="1">
        <v>1.08884761922735</v>
      </c>
      <c r="AD76" s="1">
        <v>1.03823390408431</v>
      </c>
      <c r="AE76" s="1">
        <v>1.97215830913785</v>
      </c>
      <c r="AF76" s="1">
        <v>1</v>
      </c>
    </row>
    <row r="77" spans="2:32">
      <c r="B77" s="1">
        <v>2092</v>
      </c>
      <c r="C77">
        <v>44.3869671404508</v>
      </c>
      <c r="F77">
        <v>1149.52972065158</v>
      </c>
      <c r="H77">
        <v>13.6494938944809</v>
      </c>
      <c r="I77" s="1">
        <v>2092</v>
      </c>
      <c r="K77" s="1">
        <v>-14.7416563393451</v>
      </c>
      <c r="L77" s="1">
        <v>0.893254297666536</v>
      </c>
      <c r="M77" s="1">
        <v>1.09070396471317</v>
      </c>
      <c r="N77" s="1">
        <v>1.0767590478586</v>
      </c>
      <c r="O77" s="1">
        <v>2.74624301400708</v>
      </c>
      <c r="P77" s="1">
        <v>1</v>
      </c>
      <c r="S77" s="2">
        <v>57.3283434236049</v>
      </c>
      <c r="T77" s="2">
        <v>22.7376811499408</v>
      </c>
      <c r="U77" s="2">
        <v>1.09090890010088</v>
      </c>
      <c r="V77" s="2">
        <v>1.09066280997304</v>
      </c>
      <c r="W77" s="2">
        <v>2.16751564263442</v>
      </c>
      <c r="X77" s="2">
        <v>0.440452885919147</v>
      </c>
      <c r="AA77" s="1">
        <v>-14.2597973323898</v>
      </c>
      <c r="AB77" s="1">
        <v>0.273844120530896</v>
      </c>
      <c r="AC77" s="1">
        <v>1.08902890904947</v>
      </c>
      <c r="AD77" s="1">
        <v>1.04126863245993</v>
      </c>
      <c r="AE77" s="1">
        <v>2.0325822151278</v>
      </c>
      <c r="AF77" s="1">
        <v>1</v>
      </c>
    </row>
    <row r="78" spans="2:32">
      <c r="B78" s="1">
        <v>2093</v>
      </c>
      <c r="C78">
        <v>43.4839971907099</v>
      </c>
      <c r="F78">
        <v>1151.48202454112</v>
      </c>
      <c r="H78">
        <v>13.2760376618856</v>
      </c>
      <c r="I78" s="1">
        <v>2093</v>
      </c>
      <c r="K78" s="1">
        <v>-15.1233329317076</v>
      </c>
      <c r="L78" s="1">
        <v>0.874984964241436</v>
      </c>
      <c r="M78" s="1">
        <v>1.09072655312277</v>
      </c>
      <c r="N78" s="1">
        <v>1.07779748128148</v>
      </c>
      <c r="O78" s="1">
        <v>2.83100627484836</v>
      </c>
      <c r="P78" s="1">
        <v>1</v>
      </c>
      <c r="S78" s="2">
        <v>57.3880513958397</v>
      </c>
      <c r="T78" s="2">
        <v>22.7722350241114</v>
      </c>
      <c r="U78" s="2">
        <v>1.09090896236779</v>
      </c>
      <c r="V78" s="2">
        <v>1.09071600521415</v>
      </c>
      <c r="W78" s="2">
        <v>2.18122672663662</v>
      </c>
      <c r="X78" s="2">
        <v>0.441604363343624</v>
      </c>
      <c r="AA78" s="1">
        <v>-14.526639964852</v>
      </c>
      <c r="AB78" s="1">
        <v>0.26497160128427</v>
      </c>
      <c r="AC78" s="1">
        <v>1.08919178267192</v>
      </c>
      <c r="AD78" s="1">
        <v>1.04409930033165</v>
      </c>
      <c r="AE78" s="1">
        <v>2.09349141778578</v>
      </c>
      <c r="AF78" s="1">
        <v>1</v>
      </c>
    </row>
    <row r="79" spans="2:32">
      <c r="B79" s="1">
        <v>2094</v>
      </c>
      <c r="C79">
        <v>42.4249308585458</v>
      </c>
      <c r="F79">
        <v>1152.99436292511</v>
      </c>
      <c r="H79">
        <v>12.8415854629273</v>
      </c>
      <c r="I79" s="1">
        <v>2094</v>
      </c>
      <c r="K79" s="1">
        <v>-15.5150968689183</v>
      </c>
      <c r="L79" s="1">
        <v>0.853324243371307</v>
      </c>
      <c r="M79" s="1">
        <v>1.09074634184226</v>
      </c>
      <c r="N79" s="1">
        <v>1.07874710348688</v>
      </c>
      <c r="O79" s="1">
        <v>2.91522085320172</v>
      </c>
      <c r="P79" s="1">
        <v>1</v>
      </c>
      <c r="S79" s="2">
        <v>57.4398453047837</v>
      </c>
      <c r="T79" s="2">
        <v>22.8011975028498</v>
      </c>
      <c r="U79" s="2">
        <v>1.0909090046724</v>
      </c>
      <c r="V79" s="2">
        <v>1.09075811642134</v>
      </c>
      <c r="W79" s="2">
        <v>2.19319257937238</v>
      </c>
      <c r="X79" s="2">
        <v>0.442700914250284</v>
      </c>
      <c r="AA79" s="1">
        <v>-14.7999407465005</v>
      </c>
      <c r="AB79" s="1">
        <v>0.2545412245238</v>
      </c>
      <c r="AC79" s="1">
        <v>1.08933827532061</v>
      </c>
      <c r="AD79" s="1">
        <v>1.04673999558286</v>
      </c>
      <c r="AE79" s="1">
        <v>2.15481042993864</v>
      </c>
      <c r="AF79" s="1">
        <v>1</v>
      </c>
    </row>
    <row r="80" spans="2:32">
      <c r="B80" s="1">
        <v>2095</v>
      </c>
      <c r="C80">
        <v>41.2344621909288</v>
      </c>
      <c r="F80">
        <v>1154.10901826334</v>
      </c>
      <c r="H80">
        <v>12.3847294017188</v>
      </c>
      <c r="I80" s="1">
        <v>2095</v>
      </c>
      <c r="K80" s="1">
        <v>-15.9140083118652</v>
      </c>
      <c r="L80" s="1">
        <v>0.828907827499563</v>
      </c>
      <c r="M80" s="1">
        <v>1.09076370513332</v>
      </c>
      <c r="N80" s="1">
        <v>1.07961606144037</v>
      </c>
      <c r="O80" s="1">
        <v>2.99871214598002</v>
      </c>
      <c r="P80" s="1">
        <v>1</v>
      </c>
      <c r="S80" s="2">
        <v>57.4932743204046</v>
      </c>
      <c r="T80" s="2">
        <v>22.8281624799426</v>
      </c>
      <c r="U80" s="2">
        <v>1.09090903322259</v>
      </c>
      <c r="V80" s="2">
        <v>1.0907912793272</v>
      </c>
      <c r="W80" s="2">
        <v>2.20344667569424</v>
      </c>
      <c r="X80" s="2">
        <v>0.443663811564388</v>
      </c>
      <c r="AA80" s="1">
        <v>-15.0755848346645</v>
      </c>
      <c r="AB80" s="1">
        <v>0.243612519009385</v>
      </c>
      <c r="AC80" s="1">
        <v>1.08947018193617</v>
      </c>
      <c r="AD80" s="1">
        <v>1.04920387721934</v>
      </c>
      <c r="AE80" s="1">
        <v>2.21646159658054</v>
      </c>
      <c r="AF80" s="1">
        <v>1</v>
      </c>
    </row>
    <row r="81" spans="2:32">
      <c r="B81" s="1">
        <v>2096</v>
      </c>
      <c r="C81">
        <v>39.9338647334168</v>
      </c>
      <c r="F81">
        <v>1154.74853196568</v>
      </c>
      <c r="H81">
        <v>11.9179521776842</v>
      </c>
      <c r="I81" s="1">
        <v>2096</v>
      </c>
      <c r="K81" s="1">
        <v>-16.318089443178</v>
      </c>
      <c r="L81" s="1">
        <v>0.802114117410334</v>
      </c>
      <c r="M81" s="1">
        <v>1.09077896404748</v>
      </c>
      <c r="N81" s="1">
        <v>1.08041171661692</v>
      </c>
      <c r="O81" s="1">
        <v>3.08131146670356</v>
      </c>
      <c r="P81" s="1">
        <v>1</v>
      </c>
      <c r="S81" s="2">
        <v>57.5145603553924</v>
      </c>
      <c r="T81" s="2">
        <v>22.8416296724664</v>
      </c>
      <c r="U81" s="2">
        <v>1.09090905246049</v>
      </c>
      <c r="V81" s="2">
        <v>1.0908173794854</v>
      </c>
      <c r="W81" s="2">
        <v>2.21239652049758</v>
      </c>
      <c r="X81" s="2">
        <v>0.444782024912118</v>
      </c>
      <c r="AA81" s="1">
        <v>-15.3521157745404</v>
      </c>
      <c r="AB81" s="1">
        <v>0.232516906395359</v>
      </c>
      <c r="AC81" s="1">
        <v>1.08958908670185</v>
      </c>
      <c r="AD81" s="1">
        <v>1.05150321586856</v>
      </c>
      <c r="AE81" s="1">
        <v>2.27836526960869</v>
      </c>
      <c r="AF81" s="1">
        <v>1</v>
      </c>
    </row>
    <row r="82" spans="2:32">
      <c r="B82" s="1">
        <v>2097</v>
      </c>
      <c r="C82">
        <v>38.5414719473817</v>
      </c>
      <c r="F82">
        <v>1154.87071516328</v>
      </c>
      <c r="H82">
        <v>11.4459528144188</v>
      </c>
      <c r="I82" s="1">
        <v>2097</v>
      </c>
      <c r="K82" s="1">
        <v>-16.7252643297149</v>
      </c>
      <c r="L82" s="1">
        <v>0.773354991276658</v>
      </c>
      <c r="M82" s="1">
        <v>1.09079239443372</v>
      </c>
      <c r="N82" s="1">
        <v>1.08114072435567</v>
      </c>
      <c r="O82" s="1">
        <v>3.16285759877315</v>
      </c>
      <c r="P82" s="1">
        <v>1</v>
      </c>
      <c r="S82" s="2">
        <v>57.4737291409783</v>
      </c>
      <c r="T82" s="2">
        <v>22.8321910103007</v>
      </c>
      <c r="U82" s="2">
        <v>1.09090906543847</v>
      </c>
      <c r="V82" s="2">
        <v>1.09083797024293</v>
      </c>
      <c r="W82" s="2">
        <v>2.22071280294849</v>
      </c>
      <c r="X82" s="2">
        <v>0.44630351108556</v>
      </c>
      <c r="AA82" s="1">
        <v>-15.6288415054095</v>
      </c>
      <c r="AB82" s="1">
        <v>0.221374730549261</v>
      </c>
      <c r="AC82" s="1">
        <v>1.08969638925426</v>
      </c>
      <c r="AD82" s="1">
        <v>1.05364944437466</v>
      </c>
      <c r="AE82" s="1">
        <v>2.34044021657748</v>
      </c>
      <c r="AF82" s="1">
        <v>1</v>
      </c>
    </row>
    <row r="83" spans="2:32">
      <c r="B83" s="1">
        <v>2098</v>
      </c>
      <c r="C83">
        <v>37.0730510726258</v>
      </c>
      <c r="F83">
        <v>1154.81223515334</v>
      </c>
      <c r="H83">
        <v>10.332527597874</v>
      </c>
      <c r="I83" s="1">
        <v>2098</v>
      </c>
      <c r="K83" s="1">
        <v>-17.1337601796308</v>
      </c>
      <c r="L83" s="1">
        <v>0.742967733083932</v>
      </c>
      <c r="M83" s="1">
        <v>1.09080423365253</v>
      </c>
      <c r="N83" s="1">
        <v>1.08180910377656</v>
      </c>
      <c r="O83" s="1">
        <v>3.24319808100868</v>
      </c>
      <c r="P83" s="1">
        <v>1</v>
      </c>
      <c r="S83" s="2">
        <v>57.4739187454211</v>
      </c>
      <c r="T83" s="2">
        <v>22.8365634769748</v>
      </c>
      <c r="U83" s="2">
        <v>1.09090907407821</v>
      </c>
      <c r="V83" s="2">
        <v>1.09085403754285</v>
      </c>
      <c r="W83" s="2">
        <v>2.22786178306457</v>
      </c>
      <c r="X83" s="2">
        <v>0.4473532472572</v>
      </c>
      <c r="AA83" s="1">
        <v>-15.8472094166277</v>
      </c>
      <c r="AB83" s="1">
        <v>0.226133533652175</v>
      </c>
      <c r="AC83" s="1">
        <v>1.08979339647973</v>
      </c>
      <c r="AD83" s="1">
        <v>1.05565463392464</v>
      </c>
      <c r="AE83" s="1">
        <v>2.40265170778265</v>
      </c>
      <c r="AF83" s="1">
        <v>1</v>
      </c>
    </row>
    <row r="84" spans="2:32">
      <c r="B84" s="1">
        <v>2099</v>
      </c>
      <c r="C84">
        <v>35.5421998284147</v>
      </c>
      <c r="F84">
        <v>1154.43859779679</v>
      </c>
      <c r="H84">
        <v>9.60490006680784</v>
      </c>
      <c r="I84" s="1">
        <v>2099</v>
      </c>
      <c r="K84" s="1">
        <v>-17.5419748487735</v>
      </c>
      <c r="L84" s="1">
        <v>0.711252404159986</v>
      </c>
      <c r="M84" s="1">
        <v>1.09081468624692</v>
      </c>
      <c r="N84" s="1">
        <v>1.08242230096017</v>
      </c>
      <c r="O84" s="1">
        <v>3.32219037570931</v>
      </c>
      <c r="P84" s="1">
        <v>1</v>
      </c>
      <c r="S84" s="2">
        <v>57.4774974638399</v>
      </c>
      <c r="T84" s="2">
        <v>22.840775143451</v>
      </c>
      <c r="U84" s="2">
        <v>1.09090907979987</v>
      </c>
      <c r="V84" s="2">
        <v>1.09086651891806</v>
      </c>
      <c r="W84" s="2">
        <v>2.23382931871918</v>
      </c>
      <c r="X84" s="2">
        <v>0.448261405602101</v>
      </c>
      <c r="AA84" s="1">
        <v>-16.1584479331179</v>
      </c>
      <c r="AB84" s="1">
        <v>0.205425410528601</v>
      </c>
      <c r="AC84" s="1">
        <v>1.08988111994842</v>
      </c>
      <c r="AD84" s="1">
        <v>1.05752702392705</v>
      </c>
      <c r="AE84" s="1">
        <v>2.464866702958</v>
      </c>
      <c r="AF84" s="1">
        <v>1</v>
      </c>
    </row>
    <row r="85" spans="9:32">
      <c r="I85" s="1">
        <v>2100</v>
      </c>
      <c r="K85" s="1">
        <v>-17.9484980245722</v>
      </c>
      <c r="L85" s="1">
        <v>0.678467101284996</v>
      </c>
      <c r="M85" s="1">
        <v>1.09082392873158</v>
      </c>
      <c r="N85" s="1">
        <v>1.0829852455471</v>
      </c>
      <c r="O85" s="1">
        <v>3.39970284279872</v>
      </c>
      <c r="P85" s="1">
        <v>1</v>
      </c>
      <c r="S85" s="2">
        <v>57.4053761323886</v>
      </c>
      <c r="T85" s="2">
        <v>22.8177953524308</v>
      </c>
      <c r="U85" s="2">
        <v>1.09090908360901</v>
      </c>
      <c r="V85" s="2">
        <v>1.09087626707929</v>
      </c>
      <c r="W85" s="2">
        <v>2.23947150498281</v>
      </c>
      <c r="X85" s="2">
        <v>0.449693224156123</v>
      </c>
      <c r="AA85" s="1">
        <v>-16.4443392097546</v>
      </c>
      <c r="AB85" s="1">
        <v>0.191421420168911</v>
      </c>
      <c r="AC85" s="1">
        <v>1.08996053725457</v>
      </c>
      <c r="AD85" s="1">
        <v>1.05927593541877</v>
      </c>
      <c r="AE85" s="1">
        <v>2.52700473197411</v>
      </c>
      <c r="AF85" s="1">
        <v>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5"/>
  <sheetViews>
    <sheetView tabSelected="1" zoomScale="70" zoomScaleNormal="70" workbookViewId="0">
      <selection activeCell="AC1" sqref="AA$1:AA$1048576 AB$1:AB$1048576 AC$1:AC$1048576"/>
    </sheetView>
  </sheetViews>
  <sheetFormatPr defaultColWidth="9" defaultRowHeight="14.4"/>
  <cols>
    <col min="3" max="3" width="12.8888888888889"/>
    <col min="4" max="4" width="14.1111111111111"/>
    <col min="5" max="5" width="12.8888888888889"/>
    <col min="6" max="6" width="14.1111111111111"/>
    <col min="7" max="7" width="12.8888888888889"/>
    <col min="8" max="8" width="14.1111111111111"/>
    <col min="14" max="14" width="12.8888888888889"/>
    <col min="16" max="16" width="12.8888888888889"/>
    <col min="18" max="18" width="12.8888888888889"/>
    <col min="21" max="21" width="14.1111111111111"/>
    <col min="23" max="23" width="14.1111111111111"/>
    <col min="25" max="25" width="14.1111111111111"/>
    <col min="27" max="29" width="12.8888888888889"/>
  </cols>
  <sheetData>
    <row r="1" spans="1:29">
      <c r="A1" t="s">
        <v>0</v>
      </c>
      <c r="C1" t="s">
        <v>29</v>
      </c>
      <c r="D1" t="s">
        <v>30</v>
      </c>
      <c r="E1" t="s">
        <v>31</v>
      </c>
      <c r="G1" t="s">
        <v>32</v>
      </c>
      <c r="L1" t="s">
        <v>33</v>
      </c>
      <c r="N1" t="s">
        <v>29</v>
      </c>
      <c r="P1" t="s">
        <v>31</v>
      </c>
      <c r="R1" t="s">
        <v>32</v>
      </c>
      <c r="T1" t="s">
        <v>34</v>
      </c>
      <c r="U1" t="s">
        <v>29</v>
      </c>
      <c r="W1" t="s">
        <v>31</v>
      </c>
      <c r="Y1" t="s">
        <v>32</v>
      </c>
      <c r="Z1" t="s">
        <v>35</v>
      </c>
      <c r="AA1" t="s">
        <v>29</v>
      </c>
      <c r="AB1" t="s">
        <v>31</v>
      </c>
      <c r="AC1" t="s">
        <v>32</v>
      </c>
    </row>
    <row r="2" spans="1:29">
      <c r="A2">
        <v>2017</v>
      </c>
      <c r="C2">
        <v>0.994032720271071</v>
      </c>
      <c r="D2">
        <f>C3-C2</f>
        <v>-0.00537395761738801</v>
      </c>
      <c r="E2">
        <v>0.994032720271071</v>
      </c>
      <c r="F2">
        <f>E3-E2</f>
        <v>-0.00641980553752874</v>
      </c>
      <c r="G2">
        <v>0.994032720271071</v>
      </c>
      <c r="H2">
        <f>G3-G2</f>
        <v>-0.00527590087161878</v>
      </c>
      <c r="N2">
        <f>C2*100000</f>
        <v>99403.2720271071</v>
      </c>
      <c r="P2">
        <f>E2*100000</f>
        <v>99403.2720271071</v>
      </c>
      <c r="R2">
        <f>G2*100000</f>
        <v>99403.2720271071</v>
      </c>
      <c r="U2">
        <f>D2*10000</f>
        <v>-53.7395761738801</v>
      </c>
      <c r="W2">
        <f>F2*10000</f>
        <v>-64.1980553752874</v>
      </c>
      <c r="Y2">
        <f>H2*10000</f>
        <v>-52.7590087161878</v>
      </c>
      <c r="AA2">
        <f>(C2-0.7)/(1-0.7)</f>
        <v>0.980109067570238</v>
      </c>
      <c r="AB2">
        <f>(E2-0.7)/(1-0.7)</f>
        <v>0.980109067570238</v>
      </c>
      <c r="AC2">
        <f>(G2-0.7)/(1-0.7)</f>
        <v>0.980109067570238</v>
      </c>
    </row>
    <row r="3" spans="1:29">
      <c r="A3">
        <v>2018</v>
      </c>
      <c r="C3">
        <v>0.988658762653683</v>
      </c>
      <c r="D3">
        <f>C4-C3</f>
        <v>-0.00620652330310945</v>
      </c>
      <c r="E3">
        <v>0.987612914733543</v>
      </c>
      <c r="F3">
        <f t="shared" ref="F3:F34" si="0">E4-E3</f>
        <v>-0.00523785279005429</v>
      </c>
      <c r="G3">
        <v>0.988756819399453</v>
      </c>
      <c r="H3">
        <f t="shared" ref="H3:H34" si="1">G4-G3</f>
        <v>-0.00618428715045638</v>
      </c>
      <c r="N3">
        <f t="shared" ref="N3:N24" si="2">C3*100000</f>
        <v>98865.8762653683</v>
      </c>
      <c r="P3">
        <f t="shared" ref="P3:P34" si="3">E3*100000</f>
        <v>98761.2914733543</v>
      </c>
      <c r="R3">
        <f t="shared" ref="R3:R34" si="4">G3*100000</f>
        <v>98875.6819399453</v>
      </c>
      <c r="U3">
        <f t="shared" ref="U3:U34" si="5">D3*10000</f>
        <v>-62.0652330310945</v>
      </c>
      <c r="W3">
        <f t="shared" ref="W3:W34" si="6">F3*10000</f>
        <v>-52.3785279005429</v>
      </c>
      <c r="Y3">
        <f t="shared" ref="Y3:Y34" si="7">H3*10000</f>
        <v>-61.8428715045638</v>
      </c>
      <c r="AA3">
        <f t="shared" ref="AA3:AA18" si="8">(C3-0.7)/(1-0.7)</f>
        <v>0.962195875512278</v>
      </c>
      <c r="AB3">
        <f t="shared" ref="AB3:AB34" si="9">(E3-0.7)/(1-0.7)</f>
        <v>0.958709715778475</v>
      </c>
      <c r="AC3">
        <f t="shared" ref="AC3:AC34" si="10">(G3-0.7)/(1-0.7)</f>
        <v>0.962522731331509</v>
      </c>
    </row>
    <row r="4" spans="1:29">
      <c r="A4">
        <v>2019</v>
      </c>
      <c r="C4">
        <v>0.982452239350574</v>
      </c>
      <c r="D4">
        <f>C5-C4</f>
        <v>-0.00544293443287791</v>
      </c>
      <c r="E4">
        <v>0.982375061943488</v>
      </c>
      <c r="F4">
        <f t="shared" si="0"/>
        <v>-0.005406737130221</v>
      </c>
      <c r="G4">
        <v>0.982572532248996</v>
      </c>
      <c r="H4">
        <f t="shared" si="1"/>
        <v>-0.00489453801974782</v>
      </c>
      <c r="N4">
        <f t="shared" si="2"/>
        <v>98245.2239350574</v>
      </c>
      <c r="P4">
        <f t="shared" si="3"/>
        <v>98237.5061943488</v>
      </c>
      <c r="R4">
        <f t="shared" si="4"/>
        <v>98257.2532248996</v>
      </c>
      <c r="U4">
        <f t="shared" si="5"/>
        <v>-54.4293443287791</v>
      </c>
      <c r="W4">
        <f t="shared" si="6"/>
        <v>-54.06737130221</v>
      </c>
      <c r="Y4">
        <f t="shared" si="7"/>
        <v>-48.9453801974782</v>
      </c>
      <c r="AA4">
        <f t="shared" si="8"/>
        <v>0.941507464501913</v>
      </c>
      <c r="AB4">
        <f t="shared" si="9"/>
        <v>0.941250206478294</v>
      </c>
      <c r="AC4">
        <f t="shared" si="10"/>
        <v>0.941908440829987</v>
      </c>
    </row>
    <row r="5" spans="1:29">
      <c r="A5">
        <v>2020</v>
      </c>
      <c r="C5">
        <v>0.977009304917696</v>
      </c>
      <c r="D5">
        <f t="shared" ref="D5:D36" si="11">C6-C5</f>
        <v>-0.00595305279678038</v>
      </c>
      <c r="E5">
        <v>0.976968324813267</v>
      </c>
      <c r="F5">
        <f t="shared" si="0"/>
        <v>-0.00555958926755751</v>
      </c>
      <c r="G5">
        <v>0.977677994229248</v>
      </c>
      <c r="H5">
        <f t="shared" si="1"/>
        <v>-0.00668095913534306</v>
      </c>
      <c r="N5">
        <f t="shared" si="2"/>
        <v>97700.9304917696</v>
      </c>
      <c r="P5">
        <f t="shared" si="3"/>
        <v>97696.8324813267</v>
      </c>
      <c r="R5">
        <f t="shared" si="4"/>
        <v>97767.7994229248</v>
      </c>
      <c r="U5">
        <f t="shared" si="5"/>
        <v>-59.5305279678038</v>
      </c>
      <c r="W5">
        <f t="shared" si="6"/>
        <v>-55.5958926755751</v>
      </c>
      <c r="Y5">
        <f t="shared" si="7"/>
        <v>-66.8095913534306</v>
      </c>
      <c r="AA5">
        <f t="shared" si="8"/>
        <v>0.923364349725653</v>
      </c>
      <c r="AB5">
        <f t="shared" si="9"/>
        <v>0.923227749377558</v>
      </c>
      <c r="AC5">
        <f t="shared" si="10"/>
        <v>0.925593314097495</v>
      </c>
    </row>
    <row r="6" spans="1:29">
      <c r="A6">
        <v>2021</v>
      </c>
      <c r="C6">
        <v>0.971056252120916</v>
      </c>
      <c r="D6">
        <f t="shared" si="11"/>
        <v>-0.00656427693037409</v>
      </c>
      <c r="E6">
        <v>0.97140873554571</v>
      </c>
      <c r="F6">
        <f t="shared" si="0"/>
        <v>-0.00666845501866831</v>
      </c>
      <c r="G6">
        <v>0.970997035093905</v>
      </c>
      <c r="H6">
        <f t="shared" si="1"/>
        <v>-0.00577115202729017</v>
      </c>
      <c r="N6">
        <f t="shared" si="2"/>
        <v>97105.6252120916</v>
      </c>
      <c r="P6">
        <f t="shared" si="3"/>
        <v>97140.873554571</v>
      </c>
      <c r="R6">
        <f t="shared" si="4"/>
        <v>97099.7035093905</v>
      </c>
      <c r="U6">
        <f t="shared" si="5"/>
        <v>-65.6427693037409</v>
      </c>
      <c r="W6">
        <f t="shared" si="6"/>
        <v>-66.6845501866831</v>
      </c>
      <c r="Y6">
        <f t="shared" si="7"/>
        <v>-57.7115202729017</v>
      </c>
      <c r="AA6">
        <f t="shared" si="8"/>
        <v>0.903520840403052</v>
      </c>
      <c r="AB6">
        <f t="shared" si="9"/>
        <v>0.904695785152366</v>
      </c>
      <c r="AC6">
        <f t="shared" si="10"/>
        <v>0.903323450313018</v>
      </c>
    </row>
    <row r="7" spans="1:29">
      <c r="A7">
        <v>2022</v>
      </c>
      <c r="C7">
        <v>0.964491975190542</v>
      </c>
      <c r="D7">
        <f t="shared" si="11"/>
        <v>-0.00752967034363927</v>
      </c>
      <c r="E7">
        <v>0.964740280527042</v>
      </c>
      <c r="F7">
        <f t="shared" si="0"/>
        <v>-0.00696173499601471</v>
      </c>
      <c r="G7">
        <v>0.965225883066615</v>
      </c>
      <c r="H7">
        <f t="shared" si="1"/>
        <v>-0.00622682525895779</v>
      </c>
      <c r="N7">
        <f t="shared" si="2"/>
        <v>96449.1975190542</v>
      </c>
      <c r="P7">
        <f t="shared" si="3"/>
        <v>96474.0280527041</v>
      </c>
      <c r="R7">
        <f t="shared" si="4"/>
        <v>96522.5883066615</v>
      </c>
      <c r="U7">
        <f t="shared" si="5"/>
        <v>-75.2967034363927</v>
      </c>
      <c r="W7">
        <f t="shared" si="6"/>
        <v>-69.6173499601471</v>
      </c>
      <c r="Y7">
        <f t="shared" si="7"/>
        <v>-62.2682525895779</v>
      </c>
      <c r="AA7">
        <f t="shared" si="8"/>
        <v>0.881639917301805</v>
      </c>
      <c r="AB7">
        <f t="shared" si="9"/>
        <v>0.882467601756805</v>
      </c>
      <c r="AC7">
        <f t="shared" si="10"/>
        <v>0.884086276888717</v>
      </c>
    </row>
    <row r="8" spans="1:29">
      <c r="A8">
        <v>2023</v>
      </c>
      <c r="C8">
        <v>0.956962304846902</v>
      </c>
      <c r="D8">
        <f t="shared" si="11"/>
        <v>-0.00628692986221091</v>
      </c>
      <c r="E8">
        <v>0.957778545531027</v>
      </c>
      <c r="F8">
        <f t="shared" si="0"/>
        <v>-0.00725517887587002</v>
      </c>
      <c r="G8">
        <v>0.958999057807657</v>
      </c>
      <c r="H8">
        <f t="shared" si="1"/>
        <v>-0.00707008019629529</v>
      </c>
      <c r="N8">
        <f t="shared" si="2"/>
        <v>95696.2304846902</v>
      </c>
      <c r="P8">
        <f t="shared" si="3"/>
        <v>95777.8545531027</v>
      </c>
      <c r="R8">
        <f t="shared" si="4"/>
        <v>95899.9057807657</v>
      </c>
      <c r="U8">
        <f t="shared" si="5"/>
        <v>-62.8692986221091</v>
      </c>
      <c r="W8">
        <f t="shared" si="6"/>
        <v>-72.5517887587002</v>
      </c>
      <c r="Y8">
        <f t="shared" si="7"/>
        <v>-70.7008019629529</v>
      </c>
      <c r="AA8">
        <f t="shared" si="8"/>
        <v>0.856541016156341</v>
      </c>
      <c r="AB8">
        <f t="shared" si="9"/>
        <v>0.859261818436756</v>
      </c>
      <c r="AC8">
        <f t="shared" si="10"/>
        <v>0.863330192692191</v>
      </c>
    </row>
    <row r="9" spans="1:29">
      <c r="A9">
        <v>2024</v>
      </c>
      <c r="C9">
        <v>0.950675374984691</v>
      </c>
      <c r="D9">
        <f t="shared" si="11"/>
        <v>-0.00701042679015429</v>
      </c>
      <c r="E9">
        <v>0.950523366655157</v>
      </c>
      <c r="F9">
        <f t="shared" si="0"/>
        <v>-0.00666663104609144</v>
      </c>
      <c r="G9">
        <v>0.951928977611362</v>
      </c>
      <c r="H9">
        <f t="shared" si="1"/>
        <v>-0.00755494341400564</v>
      </c>
      <c r="N9">
        <f t="shared" si="2"/>
        <v>95067.5374984691</v>
      </c>
      <c r="P9">
        <f t="shared" si="3"/>
        <v>95052.3366655157</v>
      </c>
      <c r="R9">
        <f t="shared" si="4"/>
        <v>95192.8977611362</v>
      </c>
      <c r="U9">
        <f t="shared" si="5"/>
        <v>-70.1042679015429</v>
      </c>
      <c r="W9">
        <f t="shared" si="6"/>
        <v>-66.6663104609144</v>
      </c>
      <c r="Y9">
        <f t="shared" si="7"/>
        <v>-75.5494341400564</v>
      </c>
      <c r="AA9">
        <f t="shared" si="8"/>
        <v>0.835584583282305</v>
      </c>
      <c r="AB9">
        <f t="shared" si="9"/>
        <v>0.835077888850523</v>
      </c>
      <c r="AC9">
        <f t="shared" si="10"/>
        <v>0.83976325870454</v>
      </c>
    </row>
    <row r="10" spans="1:29">
      <c r="A10">
        <v>2025</v>
      </c>
      <c r="C10">
        <v>0.943664948194537</v>
      </c>
      <c r="D10">
        <f t="shared" si="11"/>
        <v>-0.00816733031239747</v>
      </c>
      <c r="E10">
        <v>0.943856735609065</v>
      </c>
      <c r="F10">
        <f t="shared" si="0"/>
        <v>-0.00870945283842883</v>
      </c>
      <c r="G10">
        <v>0.944374034197356</v>
      </c>
      <c r="H10">
        <f t="shared" si="1"/>
        <v>-0.00618645686744546</v>
      </c>
      <c r="N10">
        <f t="shared" si="2"/>
        <v>94366.4948194537</v>
      </c>
      <c r="P10">
        <f t="shared" si="3"/>
        <v>94385.6735609065</v>
      </c>
      <c r="R10">
        <f t="shared" si="4"/>
        <v>94437.4034197356</v>
      </c>
      <c r="U10">
        <f t="shared" si="5"/>
        <v>-81.6733031239747</v>
      </c>
      <c r="W10">
        <f t="shared" si="6"/>
        <v>-87.0945283842883</v>
      </c>
      <c r="Y10">
        <f t="shared" si="7"/>
        <v>-61.8645686744546</v>
      </c>
      <c r="AA10">
        <f t="shared" si="8"/>
        <v>0.81221649398179</v>
      </c>
      <c r="AB10">
        <f t="shared" si="9"/>
        <v>0.812855785363551</v>
      </c>
      <c r="AC10">
        <f t="shared" si="10"/>
        <v>0.814580113991188</v>
      </c>
    </row>
    <row r="11" spans="1:29">
      <c r="A11">
        <v>2026</v>
      </c>
      <c r="C11">
        <v>0.93549761788214</v>
      </c>
      <c r="D11">
        <f t="shared" si="11"/>
        <v>-0.00672152613208155</v>
      </c>
      <c r="E11">
        <v>0.935147282770637</v>
      </c>
      <c r="F11">
        <f t="shared" si="0"/>
        <v>-0.00679514114826318</v>
      </c>
      <c r="G11">
        <v>0.938187577329911</v>
      </c>
      <c r="H11">
        <f t="shared" si="1"/>
        <v>-0.00816078083770966</v>
      </c>
      <c r="N11">
        <f t="shared" si="2"/>
        <v>93549.761788214</v>
      </c>
      <c r="P11">
        <f t="shared" si="3"/>
        <v>93514.7282770637</v>
      </c>
      <c r="R11">
        <f t="shared" si="4"/>
        <v>93818.7577329911</v>
      </c>
      <c r="U11">
        <f t="shared" si="5"/>
        <v>-67.2152613208155</v>
      </c>
      <c r="W11">
        <f t="shared" si="6"/>
        <v>-67.9514114826318</v>
      </c>
      <c r="Y11">
        <f t="shared" si="7"/>
        <v>-81.6078083770966</v>
      </c>
      <c r="AA11">
        <f t="shared" si="8"/>
        <v>0.784992059607132</v>
      </c>
      <c r="AB11">
        <f t="shared" si="9"/>
        <v>0.783824275902122</v>
      </c>
      <c r="AC11">
        <f t="shared" si="10"/>
        <v>0.793958591099703</v>
      </c>
    </row>
    <row r="12" spans="1:29">
      <c r="A12">
        <v>2027</v>
      </c>
      <c r="C12">
        <v>0.928776091750058</v>
      </c>
      <c r="D12">
        <f t="shared" si="11"/>
        <v>-0.0080016865235083</v>
      </c>
      <c r="E12">
        <v>0.928352141622373</v>
      </c>
      <c r="F12">
        <f t="shared" si="0"/>
        <v>-0.0066020244468088</v>
      </c>
      <c r="G12">
        <v>0.930026796492201</v>
      </c>
      <c r="H12">
        <f t="shared" si="1"/>
        <v>-0.00919611029252998</v>
      </c>
      <c r="N12">
        <f t="shared" si="2"/>
        <v>92877.6091750058</v>
      </c>
      <c r="P12">
        <f t="shared" si="3"/>
        <v>92835.2141622373</v>
      </c>
      <c r="R12">
        <f t="shared" si="4"/>
        <v>93002.6796492201</v>
      </c>
      <c r="U12">
        <f t="shared" si="5"/>
        <v>-80.016865235083</v>
      </c>
      <c r="W12">
        <f t="shared" si="6"/>
        <v>-66.020244468088</v>
      </c>
      <c r="Y12">
        <f t="shared" si="7"/>
        <v>-91.9611029252998</v>
      </c>
      <c r="AA12">
        <f t="shared" si="8"/>
        <v>0.762586972500193</v>
      </c>
      <c r="AB12">
        <f t="shared" si="9"/>
        <v>0.761173805407911</v>
      </c>
      <c r="AC12">
        <f t="shared" si="10"/>
        <v>0.766755988307338</v>
      </c>
    </row>
    <row r="13" spans="1:29">
      <c r="A13">
        <v>2028</v>
      </c>
      <c r="C13">
        <v>0.92077440522655</v>
      </c>
      <c r="D13">
        <f t="shared" si="11"/>
        <v>-0.00607399700160949</v>
      </c>
      <c r="E13">
        <v>0.921750117175565</v>
      </c>
      <c r="F13">
        <f t="shared" si="0"/>
        <v>-0.00817547762421378</v>
      </c>
      <c r="G13">
        <v>0.920830686199671</v>
      </c>
      <c r="H13">
        <f t="shared" si="1"/>
        <v>-0.00765218183685745</v>
      </c>
      <c r="N13">
        <f t="shared" si="2"/>
        <v>92077.440522655</v>
      </c>
      <c r="P13">
        <f t="shared" si="3"/>
        <v>92175.0117175565</v>
      </c>
      <c r="R13">
        <f t="shared" si="4"/>
        <v>92083.0686199671</v>
      </c>
      <c r="U13">
        <f t="shared" si="5"/>
        <v>-60.7399700160949</v>
      </c>
      <c r="W13">
        <f t="shared" si="6"/>
        <v>-81.7547762421378</v>
      </c>
      <c r="Y13">
        <f t="shared" si="7"/>
        <v>-76.5218183685745</v>
      </c>
      <c r="AA13">
        <f t="shared" si="8"/>
        <v>0.735914684088499</v>
      </c>
      <c r="AB13">
        <f t="shared" si="9"/>
        <v>0.739167057251882</v>
      </c>
      <c r="AC13">
        <f t="shared" si="10"/>
        <v>0.736102287332238</v>
      </c>
    </row>
    <row r="14" spans="1:29">
      <c r="A14">
        <v>2029</v>
      </c>
      <c r="C14">
        <v>0.91470040822494</v>
      </c>
      <c r="D14">
        <f t="shared" si="11"/>
        <v>-0.00708958989856723</v>
      </c>
      <c r="E14">
        <v>0.913574639551351</v>
      </c>
      <c r="F14">
        <f t="shared" si="0"/>
        <v>-0.00878337790538786</v>
      </c>
      <c r="G14">
        <v>0.913178504362814</v>
      </c>
      <c r="H14">
        <f t="shared" si="1"/>
        <v>-0.00860738280892748</v>
      </c>
      <c r="N14">
        <f t="shared" si="2"/>
        <v>91470.040822494</v>
      </c>
      <c r="P14">
        <f t="shared" si="3"/>
        <v>91357.4639551351</v>
      </c>
      <c r="R14">
        <f t="shared" si="4"/>
        <v>91317.8504362814</v>
      </c>
      <c r="U14">
        <f t="shared" si="5"/>
        <v>-70.8958989856723</v>
      </c>
      <c r="W14">
        <f t="shared" si="6"/>
        <v>-87.8337790538786</v>
      </c>
      <c r="Y14">
        <f t="shared" si="7"/>
        <v>-86.0738280892748</v>
      </c>
      <c r="AA14">
        <f t="shared" si="8"/>
        <v>0.715668027416468</v>
      </c>
      <c r="AB14">
        <f t="shared" si="9"/>
        <v>0.711915465171169</v>
      </c>
      <c r="AC14">
        <f t="shared" si="10"/>
        <v>0.710595014542713</v>
      </c>
    </row>
    <row r="15" spans="1:29">
      <c r="A15">
        <v>2030</v>
      </c>
      <c r="C15">
        <v>0.907610818326373</v>
      </c>
      <c r="D15">
        <f t="shared" si="11"/>
        <v>-0.0073171008580849</v>
      </c>
      <c r="E15">
        <v>0.904791261645963</v>
      </c>
      <c r="F15">
        <f t="shared" si="0"/>
        <v>-0.00737976804041862</v>
      </c>
      <c r="G15">
        <v>0.904571121553886</v>
      </c>
      <c r="H15">
        <f t="shared" si="1"/>
        <v>-0.00954994646320173</v>
      </c>
      <c r="N15">
        <f t="shared" si="2"/>
        <v>90761.0818326373</v>
      </c>
      <c r="P15">
        <f t="shared" si="3"/>
        <v>90479.1261645963</v>
      </c>
      <c r="R15">
        <f t="shared" si="4"/>
        <v>90457.1121553886</v>
      </c>
      <c r="U15">
        <f t="shared" si="5"/>
        <v>-73.171008580849</v>
      </c>
      <c r="W15">
        <f t="shared" si="6"/>
        <v>-73.7976804041862</v>
      </c>
      <c r="Y15">
        <f t="shared" si="7"/>
        <v>-95.4994646320173</v>
      </c>
      <c r="AA15">
        <f t="shared" si="8"/>
        <v>0.69203606108791</v>
      </c>
      <c r="AB15">
        <f t="shared" si="9"/>
        <v>0.682637538819876</v>
      </c>
      <c r="AC15">
        <f t="shared" si="10"/>
        <v>0.681903738512955</v>
      </c>
    </row>
    <row r="16" spans="1:29">
      <c r="A16">
        <v>2031</v>
      </c>
      <c r="C16">
        <v>0.900293717468288</v>
      </c>
      <c r="D16">
        <f t="shared" si="11"/>
        <v>-0.00683488544946897</v>
      </c>
      <c r="E16">
        <v>0.897411493605544</v>
      </c>
      <c r="F16">
        <f t="shared" si="0"/>
        <v>-0.00936303361814517</v>
      </c>
      <c r="G16">
        <v>0.895021175090685</v>
      </c>
      <c r="H16">
        <f t="shared" si="1"/>
        <v>-0.00680558312900992</v>
      </c>
      <c r="N16">
        <f t="shared" si="2"/>
        <v>90029.3717468288</v>
      </c>
      <c r="P16">
        <f t="shared" si="3"/>
        <v>89741.1493605544</v>
      </c>
      <c r="R16">
        <f t="shared" si="4"/>
        <v>89502.1175090685</v>
      </c>
      <c r="U16">
        <f t="shared" si="5"/>
        <v>-68.3488544946897</v>
      </c>
      <c r="W16">
        <f t="shared" si="6"/>
        <v>-93.6303361814517</v>
      </c>
      <c r="Y16">
        <f t="shared" si="7"/>
        <v>-68.0558312900992</v>
      </c>
      <c r="AA16">
        <f t="shared" si="8"/>
        <v>0.667645724894294</v>
      </c>
      <c r="AB16">
        <f t="shared" si="9"/>
        <v>0.658038312018481</v>
      </c>
      <c r="AC16">
        <f t="shared" si="10"/>
        <v>0.650070583635616</v>
      </c>
    </row>
    <row r="17" spans="1:29">
      <c r="A17">
        <v>2032</v>
      </c>
      <c r="C17">
        <v>0.893458832018819</v>
      </c>
      <c r="D17">
        <f t="shared" si="11"/>
        <v>-0.00806121938510174</v>
      </c>
      <c r="E17">
        <v>0.888048459987399</v>
      </c>
      <c r="F17">
        <f t="shared" si="0"/>
        <v>-0.00741701395707828</v>
      </c>
      <c r="G17">
        <v>0.888215591961675</v>
      </c>
      <c r="H17">
        <f t="shared" si="1"/>
        <v>-0.00789268729341419</v>
      </c>
      <c r="N17">
        <f t="shared" si="2"/>
        <v>89345.8832018819</v>
      </c>
      <c r="P17">
        <f t="shared" si="3"/>
        <v>88804.8459987399</v>
      </c>
      <c r="R17">
        <f t="shared" si="4"/>
        <v>88821.5591961675</v>
      </c>
      <c r="U17">
        <f t="shared" si="5"/>
        <v>-80.6121938510174</v>
      </c>
      <c r="W17">
        <f t="shared" si="6"/>
        <v>-74.1701395707828</v>
      </c>
      <c r="Y17">
        <f t="shared" si="7"/>
        <v>-78.9268729341419</v>
      </c>
      <c r="AA17">
        <f t="shared" si="8"/>
        <v>0.644862773396064</v>
      </c>
      <c r="AB17">
        <f t="shared" si="9"/>
        <v>0.626828199957997</v>
      </c>
      <c r="AC17">
        <f t="shared" si="10"/>
        <v>0.627385306538916</v>
      </c>
    </row>
    <row r="18" spans="1:29">
      <c r="A18">
        <v>2033</v>
      </c>
      <c r="C18">
        <v>0.885397612633717</v>
      </c>
      <c r="D18">
        <f t="shared" si="11"/>
        <v>-0.00702789908325463</v>
      </c>
      <c r="E18">
        <v>0.880631446030321</v>
      </c>
      <c r="F18">
        <f t="shared" si="0"/>
        <v>-0.00949040696844949</v>
      </c>
      <c r="G18">
        <v>0.880322904668261</v>
      </c>
      <c r="H18">
        <f t="shared" si="1"/>
        <v>-0.00963643209118004</v>
      </c>
      <c r="N18">
        <f t="shared" si="2"/>
        <v>88539.7612633717</v>
      </c>
      <c r="P18">
        <f t="shared" si="3"/>
        <v>88063.1446030321</v>
      </c>
      <c r="R18">
        <f t="shared" si="4"/>
        <v>88032.2904668261</v>
      </c>
      <c r="U18">
        <f t="shared" si="5"/>
        <v>-70.2789908325463</v>
      </c>
      <c r="W18">
        <f t="shared" si="6"/>
        <v>-94.9040696844949</v>
      </c>
      <c r="Y18">
        <f t="shared" si="7"/>
        <v>-96.3643209118004</v>
      </c>
      <c r="AA18">
        <f t="shared" si="8"/>
        <v>0.617992042112391</v>
      </c>
      <c r="AB18">
        <f t="shared" si="9"/>
        <v>0.60210482010107</v>
      </c>
      <c r="AC18">
        <f t="shared" si="10"/>
        <v>0.601076348894202</v>
      </c>
    </row>
    <row r="19" spans="1:29">
      <c r="A19">
        <v>2034</v>
      </c>
      <c r="C19">
        <v>0.878369713550463</v>
      </c>
      <c r="D19">
        <f t="shared" si="11"/>
        <v>-0.00583951313755027</v>
      </c>
      <c r="E19">
        <v>0.871141039061871</v>
      </c>
      <c r="F19">
        <f t="shared" si="0"/>
        <v>-0.00792733287871783</v>
      </c>
      <c r="G19">
        <v>0.870686472577081</v>
      </c>
      <c r="H19">
        <f t="shared" si="1"/>
        <v>-0.00704653900022345</v>
      </c>
      <c r="N19">
        <f t="shared" si="2"/>
        <v>87836.9713550463</v>
      </c>
      <c r="P19">
        <f t="shared" si="3"/>
        <v>87114.1039061871</v>
      </c>
      <c r="R19">
        <f t="shared" si="4"/>
        <v>87068.6472577081</v>
      </c>
      <c r="U19">
        <f t="shared" si="5"/>
        <v>-58.3951313755027</v>
      </c>
      <c r="W19">
        <f t="shared" si="6"/>
        <v>-79.2733287871783</v>
      </c>
      <c r="Y19">
        <f t="shared" si="7"/>
        <v>-70.4653900022345</v>
      </c>
      <c r="AA19">
        <f t="shared" ref="AA19:AA50" si="12">(C19-0.7)/(1-0.7)</f>
        <v>0.594565711834876</v>
      </c>
      <c r="AB19">
        <f t="shared" si="9"/>
        <v>0.570470130206238</v>
      </c>
      <c r="AC19">
        <f t="shared" si="10"/>
        <v>0.568954908590269</v>
      </c>
    </row>
    <row r="20" spans="1:29">
      <c r="A20">
        <v>2035</v>
      </c>
      <c r="C20">
        <v>0.872530200412913</v>
      </c>
      <c r="D20">
        <f t="shared" si="11"/>
        <v>-0.00783244860844823</v>
      </c>
      <c r="E20">
        <v>0.863213706183154</v>
      </c>
      <c r="F20">
        <f t="shared" si="0"/>
        <v>-0.00828639134567977</v>
      </c>
      <c r="G20">
        <v>0.863639933576857</v>
      </c>
      <c r="H20">
        <f t="shared" si="1"/>
        <v>-0.00911999610556924</v>
      </c>
      <c r="N20">
        <f t="shared" si="2"/>
        <v>87253.0200412913</v>
      </c>
      <c r="P20">
        <f t="shared" si="3"/>
        <v>86321.3706183154</v>
      </c>
      <c r="R20">
        <f t="shared" si="4"/>
        <v>86363.9933576857</v>
      </c>
      <c r="U20">
        <f t="shared" si="5"/>
        <v>-78.3244860844823</v>
      </c>
      <c r="W20">
        <f t="shared" si="6"/>
        <v>-82.8639134567977</v>
      </c>
      <c r="Y20">
        <f t="shared" si="7"/>
        <v>-91.1999610556924</v>
      </c>
      <c r="AA20">
        <f t="shared" si="12"/>
        <v>0.575100668043042</v>
      </c>
      <c r="AB20">
        <f t="shared" si="9"/>
        <v>0.544045687277179</v>
      </c>
      <c r="AC20">
        <f t="shared" si="10"/>
        <v>0.54546644525619</v>
      </c>
    </row>
    <row r="21" spans="1:29">
      <c r="A21">
        <v>2036</v>
      </c>
      <c r="C21">
        <v>0.864697751804464</v>
      </c>
      <c r="D21">
        <f t="shared" si="11"/>
        <v>-0.00578026854414548</v>
      </c>
      <c r="E21">
        <v>0.854927314837474</v>
      </c>
      <c r="F21">
        <f t="shared" si="0"/>
        <v>-0.00795662754327697</v>
      </c>
      <c r="G21">
        <v>0.854519937471288</v>
      </c>
      <c r="H21">
        <f t="shared" si="1"/>
        <v>-0.0098717545930872</v>
      </c>
      <c r="N21">
        <f t="shared" si="2"/>
        <v>86469.7751804464</v>
      </c>
      <c r="P21">
        <f t="shared" si="3"/>
        <v>85492.7314837474</v>
      </c>
      <c r="R21">
        <f t="shared" si="4"/>
        <v>85451.9937471288</v>
      </c>
      <c r="U21">
        <f t="shared" si="5"/>
        <v>-57.8026854414548</v>
      </c>
      <c r="W21">
        <f t="shared" si="6"/>
        <v>-79.5662754327697</v>
      </c>
      <c r="Y21">
        <f t="shared" si="7"/>
        <v>-98.717545930872</v>
      </c>
      <c r="AA21">
        <f t="shared" si="12"/>
        <v>0.548992506014881</v>
      </c>
      <c r="AB21">
        <f t="shared" si="9"/>
        <v>0.516424382791579</v>
      </c>
      <c r="AC21">
        <f t="shared" si="10"/>
        <v>0.515066458237626</v>
      </c>
    </row>
    <row r="22" spans="1:29">
      <c r="A22">
        <v>2037</v>
      </c>
      <c r="C22">
        <v>0.858917483260319</v>
      </c>
      <c r="D22">
        <f t="shared" si="11"/>
        <v>-0.00653609005067923</v>
      </c>
      <c r="E22">
        <v>0.846970687294197</v>
      </c>
      <c r="F22">
        <f t="shared" si="0"/>
        <v>-0.00807910977652093</v>
      </c>
      <c r="G22">
        <v>0.844648182878201</v>
      </c>
      <c r="H22">
        <f t="shared" si="1"/>
        <v>-0.0067430769062431</v>
      </c>
      <c r="N22">
        <f t="shared" si="2"/>
        <v>85891.7483260319</v>
      </c>
      <c r="P22">
        <f t="shared" si="3"/>
        <v>84697.0687294197</v>
      </c>
      <c r="R22">
        <f t="shared" si="4"/>
        <v>84464.8182878201</v>
      </c>
      <c r="U22">
        <f t="shared" si="5"/>
        <v>-65.3609005067923</v>
      </c>
      <c r="W22">
        <f t="shared" si="6"/>
        <v>-80.7910977652093</v>
      </c>
      <c r="Y22">
        <f t="shared" si="7"/>
        <v>-67.430769062431</v>
      </c>
      <c r="AA22">
        <f t="shared" si="12"/>
        <v>0.529724944201063</v>
      </c>
      <c r="AB22">
        <f t="shared" si="9"/>
        <v>0.489902290980656</v>
      </c>
      <c r="AC22">
        <f t="shared" si="10"/>
        <v>0.482160609594002</v>
      </c>
    </row>
    <row r="23" spans="1:29">
      <c r="A23">
        <v>2038</v>
      </c>
      <c r="C23">
        <v>0.85238139320964</v>
      </c>
      <c r="D23">
        <f t="shared" si="11"/>
        <v>-0.00651628063050547</v>
      </c>
      <c r="E23">
        <v>0.838891577517676</v>
      </c>
      <c r="F23">
        <f t="shared" si="0"/>
        <v>-0.00793400050449444</v>
      </c>
      <c r="G23">
        <v>0.837905105971958</v>
      </c>
      <c r="H23">
        <f t="shared" si="1"/>
        <v>-0.0093640694310021</v>
      </c>
      <c r="N23">
        <f t="shared" si="2"/>
        <v>85238.1393209639</v>
      </c>
      <c r="P23">
        <f t="shared" si="3"/>
        <v>83889.1577517676</v>
      </c>
      <c r="R23">
        <f t="shared" si="4"/>
        <v>83790.5105971958</v>
      </c>
      <c r="U23">
        <f t="shared" si="5"/>
        <v>-65.1628063050547</v>
      </c>
      <c r="W23">
        <f t="shared" si="6"/>
        <v>-79.3400050449444</v>
      </c>
      <c r="Y23">
        <f t="shared" si="7"/>
        <v>-93.640694310021</v>
      </c>
      <c r="AA23">
        <f t="shared" si="12"/>
        <v>0.507937977365465</v>
      </c>
      <c r="AB23">
        <f t="shared" si="9"/>
        <v>0.46297192505892</v>
      </c>
      <c r="AC23">
        <f t="shared" si="10"/>
        <v>0.459683686573192</v>
      </c>
    </row>
    <row r="24" spans="1:29">
      <c r="A24">
        <v>2039</v>
      </c>
      <c r="C24">
        <v>0.845865112579134</v>
      </c>
      <c r="D24">
        <f t="shared" si="11"/>
        <v>-0.00645586782867458</v>
      </c>
      <c r="E24">
        <v>0.830957577013181</v>
      </c>
      <c r="F24">
        <f t="shared" si="0"/>
        <v>-0.00790095738801333</v>
      </c>
      <c r="G24">
        <v>0.828541036540955</v>
      </c>
      <c r="H24">
        <f t="shared" si="1"/>
        <v>-0.0087144064152983</v>
      </c>
      <c r="N24">
        <f t="shared" si="2"/>
        <v>84586.5112579134</v>
      </c>
      <c r="P24">
        <f t="shared" si="3"/>
        <v>83095.7577013181</v>
      </c>
      <c r="R24">
        <f t="shared" si="4"/>
        <v>82854.1036540955</v>
      </c>
      <c r="U24">
        <f t="shared" si="5"/>
        <v>-64.5586782867458</v>
      </c>
      <c r="W24">
        <f t="shared" si="6"/>
        <v>-79.0095738801333</v>
      </c>
      <c r="Y24">
        <f t="shared" si="7"/>
        <v>-87.144064152983</v>
      </c>
      <c r="AA24">
        <f t="shared" si="12"/>
        <v>0.486217041930447</v>
      </c>
      <c r="AB24">
        <f t="shared" si="9"/>
        <v>0.436525256710605</v>
      </c>
      <c r="AC24">
        <f t="shared" si="10"/>
        <v>0.428470121803185</v>
      </c>
    </row>
    <row r="25" spans="1:29">
      <c r="A25">
        <v>2040</v>
      </c>
      <c r="C25">
        <v>0.83940924475046</v>
      </c>
      <c r="D25">
        <f t="shared" si="11"/>
        <v>-0.00644966416853332</v>
      </c>
      <c r="E25">
        <v>0.823056619625168</v>
      </c>
      <c r="F25">
        <f t="shared" si="0"/>
        <v>-0.00786619214290274</v>
      </c>
      <c r="G25">
        <v>0.819826630125657</v>
      </c>
      <c r="H25">
        <f t="shared" si="1"/>
        <v>-0.00815877734121295</v>
      </c>
      <c r="N25">
        <f t="shared" ref="N25:N56" si="13">C25*100000</f>
        <v>83940.9244750459</v>
      </c>
      <c r="P25">
        <f t="shared" si="3"/>
        <v>82305.6619625168</v>
      </c>
      <c r="R25">
        <f t="shared" si="4"/>
        <v>81982.6630125657</v>
      </c>
      <c r="U25">
        <f t="shared" si="5"/>
        <v>-64.4966416853332</v>
      </c>
      <c r="W25">
        <f t="shared" si="6"/>
        <v>-78.6619214290274</v>
      </c>
      <c r="Y25">
        <f t="shared" si="7"/>
        <v>-81.5877734121295</v>
      </c>
      <c r="AA25">
        <f t="shared" si="12"/>
        <v>0.464697482501532</v>
      </c>
      <c r="AB25">
        <f t="shared" si="9"/>
        <v>0.410188732083894</v>
      </c>
      <c r="AC25">
        <f t="shared" si="10"/>
        <v>0.399422100418857</v>
      </c>
    </row>
    <row r="26" spans="1:29">
      <c r="A26">
        <v>2041</v>
      </c>
      <c r="C26">
        <v>0.832959580581926</v>
      </c>
      <c r="D26">
        <f t="shared" si="11"/>
        <v>-0.0062028987443622</v>
      </c>
      <c r="E26">
        <v>0.815190427482265</v>
      </c>
      <c r="F26">
        <f t="shared" si="0"/>
        <v>-0.00833858516313235</v>
      </c>
      <c r="G26">
        <v>0.811667852784444</v>
      </c>
      <c r="H26">
        <f t="shared" si="1"/>
        <v>-0.00958891581212862</v>
      </c>
      <c r="N26">
        <f t="shared" si="13"/>
        <v>83295.9580581926</v>
      </c>
      <c r="P26">
        <f t="shared" si="3"/>
        <v>81519.0427482265</v>
      </c>
      <c r="R26">
        <f t="shared" si="4"/>
        <v>81166.7852784444</v>
      </c>
      <c r="U26">
        <f t="shared" si="5"/>
        <v>-62.028987443622</v>
      </c>
      <c r="W26">
        <f t="shared" si="6"/>
        <v>-83.3858516313235</v>
      </c>
      <c r="Y26">
        <f t="shared" si="7"/>
        <v>-95.8891581212862</v>
      </c>
      <c r="AA26">
        <f t="shared" si="12"/>
        <v>0.443198601939754</v>
      </c>
      <c r="AB26">
        <f t="shared" si="9"/>
        <v>0.383968091607551</v>
      </c>
      <c r="AC26">
        <f t="shared" si="10"/>
        <v>0.372226175948147</v>
      </c>
    </row>
    <row r="27" spans="1:29">
      <c r="A27">
        <v>2042</v>
      </c>
      <c r="C27">
        <v>0.826756681837564</v>
      </c>
      <c r="D27">
        <f t="shared" si="11"/>
        <v>-0.00534350074035261</v>
      </c>
      <c r="E27">
        <v>0.806851842319133</v>
      </c>
      <c r="F27">
        <f t="shared" si="0"/>
        <v>-0.00751712182003783</v>
      </c>
      <c r="G27">
        <v>0.802078936972316</v>
      </c>
      <c r="H27">
        <f t="shared" si="1"/>
        <v>-0.00814863411903466</v>
      </c>
      <c r="N27">
        <f t="shared" si="13"/>
        <v>82675.6681837564</v>
      </c>
      <c r="P27">
        <f t="shared" si="3"/>
        <v>80685.1842319133</v>
      </c>
      <c r="R27">
        <f t="shared" si="4"/>
        <v>80207.8936972316</v>
      </c>
      <c r="U27">
        <f t="shared" si="5"/>
        <v>-53.4350074035261</v>
      </c>
      <c r="W27">
        <f t="shared" si="6"/>
        <v>-75.1712182003783</v>
      </c>
      <c r="Y27">
        <f t="shared" si="7"/>
        <v>-81.4863411903466</v>
      </c>
      <c r="AA27">
        <f t="shared" si="12"/>
        <v>0.42252227279188</v>
      </c>
      <c r="AB27">
        <f t="shared" si="9"/>
        <v>0.356172807730443</v>
      </c>
      <c r="AC27">
        <f t="shared" si="10"/>
        <v>0.340263123241052</v>
      </c>
    </row>
    <row r="28" spans="1:29">
      <c r="A28">
        <v>2043</v>
      </c>
      <c r="C28">
        <v>0.821413181097211</v>
      </c>
      <c r="D28">
        <f t="shared" si="11"/>
        <v>-0.00634311430018564</v>
      </c>
      <c r="E28">
        <v>0.799334720499095</v>
      </c>
      <c r="F28">
        <f t="shared" si="0"/>
        <v>-0.00732393046897795</v>
      </c>
      <c r="G28">
        <v>0.793930302853281</v>
      </c>
      <c r="H28">
        <f t="shared" si="1"/>
        <v>-0.00708905732640452</v>
      </c>
      <c r="N28">
        <f t="shared" si="13"/>
        <v>82141.3181097211</v>
      </c>
      <c r="P28">
        <f t="shared" si="3"/>
        <v>79933.4720499095</v>
      </c>
      <c r="R28">
        <f t="shared" si="4"/>
        <v>79393.0302853281</v>
      </c>
      <c r="U28">
        <f t="shared" si="5"/>
        <v>-63.4311430018564</v>
      </c>
      <c r="W28">
        <f t="shared" si="6"/>
        <v>-73.2393046897795</v>
      </c>
      <c r="Y28">
        <f t="shared" si="7"/>
        <v>-70.8905732640452</v>
      </c>
      <c r="AA28">
        <f t="shared" si="12"/>
        <v>0.404710603657371</v>
      </c>
      <c r="AB28">
        <f t="shared" si="9"/>
        <v>0.331115734996984</v>
      </c>
      <c r="AC28">
        <f t="shared" si="10"/>
        <v>0.313101009510937</v>
      </c>
    </row>
    <row r="29" spans="1:29">
      <c r="A29">
        <v>2044</v>
      </c>
      <c r="C29">
        <v>0.815070066797026</v>
      </c>
      <c r="D29">
        <f t="shared" si="11"/>
        <v>-0.0047795151966068</v>
      </c>
      <c r="E29">
        <v>0.792010790030117</v>
      </c>
      <c r="F29">
        <f t="shared" si="0"/>
        <v>-0.00725621364534779</v>
      </c>
      <c r="G29">
        <v>0.786841245526876</v>
      </c>
      <c r="H29">
        <f t="shared" si="1"/>
        <v>-0.00983973966813767</v>
      </c>
      <c r="N29">
        <f t="shared" si="13"/>
        <v>81507.0066797026</v>
      </c>
      <c r="P29">
        <f t="shared" si="3"/>
        <v>79201.0790030117</v>
      </c>
      <c r="R29">
        <f t="shared" si="4"/>
        <v>78684.1245526876</v>
      </c>
      <c r="U29">
        <f t="shared" si="5"/>
        <v>-47.795151966068</v>
      </c>
      <c r="W29">
        <f t="shared" si="6"/>
        <v>-72.5621364534779</v>
      </c>
      <c r="Y29">
        <f t="shared" si="7"/>
        <v>-98.3973966813767</v>
      </c>
      <c r="AA29">
        <f t="shared" si="12"/>
        <v>0.383566889323419</v>
      </c>
      <c r="AB29">
        <f t="shared" si="9"/>
        <v>0.306702633433724</v>
      </c>
      <c r="AC29">
        <f t="shared" si="10"/>
        <v>0.289470818422921</v>
      </c>
    </row>
    <row r="30" spans="1:29">
      <c r="A30">
        <v>2045</v>
      </c>
      <c r="C30">
        <v>0.810290551600419</v>
      </c>
      <c r="D30">
        <f t="shared" si="11"/>
        <v>-0.00653558684062117</v>
      </c>
      <c r="E30">
        <v>0.784754576384769</v>
      </c>
      <c r="F30">
        <f t="shared" si="0"/>
        <v>-0.00690953817316187</v>
      </c>
      <c r="G30">
        <v>0.777001505858739</v>
      </c>
      <c r="H30">
        <f t="shared" si="1"/>
        <v>-0.00763292283462502</v>
      </c>
      <c r="N30">
        <f t="shared" si="13"/>
        <v>81029.0551600419</v>
      </c>
      <c r="P30">
        <f t="shared" si="3"/>
        <v>78475.4576384769</v>
      </c>
      <c r="R30">
        <f t="shared" si="4"/>
        <v>77700.1505858739</v>
      </c>
      <c r="U30">
        <f t="shared" si="5"/>
        <v>-65.3558684062117</v>
      </c>
      <c r="W30">
        <f t="shared" si="6"/>
        <v>-69.0953817316187</v>
      </c>
      <c r="Y30">
        <f t="shared" si="7"/>
        <v>-76.3292283462502</v>
      </c>
      <c r="AA30">
        <f t="shared" si="12"/>
        <v>0.367635172001397</v>
      </c>
      <c r="AB30">
        <f t="shared" si="9"/>
        <v>0.282515254615898</v>
      </c>
      <c r="AC30">
        <f t="shared" si="10"/>
        <v>0.256671686195796</v>
      </c>
    </row>
    <row r="31" spans="1:29">
      <c r="A31">
        <v>2046</v>
      </c>
      <c r="C31">
        <v>0.803754964759798</v>
      </c>
      <c r="D31">
        <f t="shared" si="11"/>
        <v>-0.00514352518825667</v>
      </c>
      <c r="E31">
        <v>0.777845038211608</v>
      </c>
      <c r="F31">
        <f t="shared" si="0"/>
        <v>-0.00611795819183081</v>
      </c>
      <c r="G31">
        <v>0.769368583024114</v>
      </c>
      <c r="H31">
        <f t="shared" si="1"/>
        <v>-0.00847742076450986</v>
      </c>
      <c r="N31">
        <f t="shared" si="13"/>
        <v>80375.4964759798</v>
      </c>
      <c r="P31">
        <f t="shared" si="3"/>
        <v>77784.5038211608</v>
      </c>
      <c r="R31">
        <f t="shared" si="4"/>
        <v>76936.8583024114</v>
      </c>
      <c r="U31">
        <f t="shared" si="5"/>
        <v>-51.4352518825667</v>
      </c>
      <c r="W31">
        <f t="shared" si="6"/>
        <v>-61.1795819183081</v>
      </c>
      <c r="Y31">
        <f t="shared" si="7"/>
        <v>-84.7742076450986</v>
      </c>
      <c r="AA31">
        <f t="shared" si="12"/>
        <v>0.345849882532659</v>
      </c>
      <c r="AB31">
        <f t="shared" si="9"/>
        <v>0.259483460705359</v>
      </c>
      <c r="AC31">
        <f t="shared" si="10"/>
        <v>0.231228610080379</v>
      </c>
    </row>
    <row r="32" spans="1:29">
      <c r="A32">
        <v>2047</v>
      </c>
      <c r="C32">
        <v>0.798611439571541</v>
      </c>
      <c r="D32">
        <f t="shared" si="11"/>
        <v>-0.00514096848707479</v>
      </c>
      <c r="E32">
        <v>0.771727080019777</v>
      </c>
      <c r="F32">
        <f t="shared" si="0"/>
        <v>-0.00679951671917844</v>
      </c>
      <c r="G32">
        <v>0.760891162259604</v>
      </c>
      <c r="H32">
        <f t="shared" si="1"/>
        <v>-0.0065320917756051</v>
      </c>
      <c r="N32">
        <f t="shared" si="13"/>
        <v>79861.1439571541</v>
      </c>
      <c r="P32">
        <f t="shared" si="3"/>
        <v>77172.7080019777</v>
      </c>
      <c r="R32">
        <f t="shared" si="4"/>
        <v>76089.1162259604</v>
      </c>
      <c r="U32">
        <f t="shared" si="5"/>
        <v>-51.4096848707479</v>
      </c>
      <c r="W32">
        <f t="shared" si="6"/>
        <v>-67.9951671917844</v>
      </c>
      <c r="Y32">
        <f t="shared" si="7"/>
        <v>-65.320917756051</v>
      </c>
      <c r="AA32">
        <f t="shared" si="12"/>
        <v>0.328704798571804</v>
      </c>
      <c r="AB32">
        <f t="shared" si="9"/>
        <v>0.239090266732589</v>
      </c>
      <c r="AC32">
        <f t="shared" si="10"/>
        <v>0.202970540865346</v>
      </c>
    </row>
    <row r="33" spans="1:29">
      <c r="A33">
        <v>2048</v>
      </c>
      <c r="C33">
        <v>0.793470471084466</v>
      </c>
      <c r="D33">
        <f t="shared" si="11"/>
        <v>-0.00440052095756704</v>
      </c>
      <c r="E33">
        <v>0.764927563300598</v>
      </c>
      <c r="F33">
        <f t="shared" si="0"/>
        <v>-0.00625091242278031</v>
      </c>
      <c r="G33">
        <v>0.754359070483999</v>
      </c>
      <c r="H33">
        <f t="shared" si="1"/>
        <v>-0.00893532408047715</v>
      </c>
      <c r="N33">
        <f t="shared" si="13"/>
        <v>79347.0471084466</v>
      </c>
      <c r="P33">
        <f t="shared" si="3"/>
        <v>76492.7563300598</v>
      </c>
      <c r="R33">
        <f t="shared" si="4"/>
        <v>75435.9070483999</v>
      </c>
      <c r="U33">
        <f t="shared" si="5"/>
        <v>-44.0052095756704</v>
      </c>
      <c r="W33">
        <f t="shared" si="6"/>
        <v>-62.5091242278031</v>
      </c>
      <c r="Y33">
        <f t="shared" si="7"/>
        <v>-89.3532408047715</v>
      </c>
      <c r="AA33">
        <f t="shared" si="12"/>
        <v>0.311568236948221</v>
      </c>
      <c r="AB33">
        <f t="shared" si="9"/>
        <v>0.216425211001994</v>
      </c>
      <c r="AC33">
        <f t="shared" si="10"/>
        <v>0.181196901613329</v>
      </c>
    </row>
    <row r="34" spans="1:29">
      <c r="A34">
        <v>2049</v>
      </c>
      <c r="C34">
        <v>0.789069950126899</v>
      </c>
      <c r="D34">
        <f t="shared" si="11"/>
        <v>-0.00479229457920005</v>
      </c>
      <c r="E34">
        <v>0.758676650877818</v>
      </c>
      <c r="F34">
        <f t="shared" si="0"/>
        <v>-0.00621010507951147</v>
      </c>
      <c r="G34">
        <v>0.745423746403522</v>
      </c>
      <c r="H34">
        <f t="shared" si="1"/>
        <v>-0.00791110351356861</v>
      </c>
      <c r="N34">
        <f t="shared" si="13"/>
        <v>78906.9950126899</v>
      </c>
      <c r="P34">
        <f t="shared" si="3"/>
        <v>75867.6650877818</v>
      </c>
      <c r="R34">
        <f t="shared" si="4"/>
        <v>74542.3746403522</v>
      </c>
      <c r="U34">
        <f t="shared" si="5"/>
        <v>-47.9229457920005</v>
      </c>
      <c r="W34">
        <f t="shared" si="6"/>
        <v>-62.1010507951147</v>
      </c>
      <c r="Y34">
        <f t="shared" si="7"/>
        <v>-79.1110351356861</v>
      </c>
      <c r="AA34">
        <f t="shared" si="12"/>
        <v>0.296899833756331</v>
      </c>
      <c r="AB34">
        <f t="shared" si="9"/>
        <v>0.195588836259393</v>
      </c>
      <c r="AC34">
        <f t="shared" si="10"/>
        <v>0.151412488011739</v>
      </c>
    </row>
    <row r="35" spans="1:29">
      <c r="A35">
        <v>2050</v>
      </c>
      <c r="C35">
        <v>0.784277655547699</v>
      </c>
      <c r="D35">
        <f t="shared" si="11"/>
        <v>-0.00469659905725062</v>
      </c>
      <c r="E35">
        <v>0.752466545798307</v>
      </c>
      <c r="F35">
        <f t="shared" ref="F35:F66" si="14">E36-E35</f>
        <v>-0.00592326906877905</v>
      </c>
      <c r="G35">
        <v>0.737512642889953</v>
      </c>
      <c r="H35">
        <f t="shared" ref="H35:H66" si="15">G36-G35</f>
        <v>-0.00749429461081386</v>
      </c>
      <c r="N35">
        <f t="shared" si="13"/>
        <v>78427.7655547699</v>
      </c>
      <c r="P35">
        <f t="shared" ref="P35:P66" si="16">E35*100000</f>
        <v>75246.6545798306</v>
      </c>
      <c r="R35">
        <f t="shared" ref="R35:R66" si="17">G35*100000</f>
        <v>73751.2642889953</v>
      </c>
      <c r="U35">
        <f t="shared" ref="U35:U66" si="18">D35*10000</f>
        <v>-46.9659905725062</v>
      </c>
      <c r="W35">
        <f t="shared" ref="W35:W66" si="19">F35*10000</f>
        <v>-59.2326906877905</v>
      </c>
      <c r="Y35">
        <f t="shared" ref="Y35:Y66" si="20">H35*10000</f>
        <v>-74.9429461081386</v>
      </c>
      <c r="AA35">
        <f t="shared" si="12"/>
        <v>0.280925518492331</v>
      </c>
      <c r="AB35">
        <f t="shared" ref="AB35:AB66" si="21">(E35-0.7)/(1-0.7)</f>
        <v>0.174888485994355</v>
      </c>
      <c r="AC35">
        <f t="shared" ref="AC35:AC66" si="22">(G35-0.7)/(1-0.7)</f>
        <v>0.12504214296651</v>
      </c>
    </row>
    <row r="36" spans="1:29">
      <c r="A36">
        <v>2051</v>
      </c>
      <c r="C36">
        <v>0.779581056490449</v>
      </c>
      <c r="D36">
        <f t="shared" si="11"/>
        <v>-0.0046085913059839</v>
      </c>
      <c r="E36">
        <v>0.746543276729527</v>
      </c>
      <c r="F36">
        <f t="shared" si="14"/>
        <v>-0.00587560934490083</v>
      </c>
      <c r="G36">
        <v>0.730018348279139</v>
      </c>
      <c r="H36">
        <f t="shared" si="15"/>
        <v>-0.00823209513975398</v>
      </c>
      <c r="N36">
        <f t="shared" si="13"/>
        <v>77958.1056490449</v>
      </c>
      <c r="P36">
        <f t="shared" si="16"/>
        <v>74654.3276729527</v>
      </c>
      <c r="R36">
        <f t="shared" si="17"/>
        <v>73001.8348279139</v>
      </c>
      <c r="U36">
        <f t="shared" si="18"/>
        <v>-46.085913059839</v>
      </c>
      <c r="W36">
        <f t="shared" si="19"/>
        <v>-58.7560934490083</v>
      </c>
      <c r="Y36">
        <f t="shared" si="20"/>
        <v>-82.3209513975398</v>
      </c>
      <c r="AA36">
        <f t="shared" si="12"/>
        <v>0.265270188301496</v>
      </c>
      <c r="AB36">
        <f t="shared" si="21"/>
        <v>0.155144255765092</v>
      </c>
      <c r="AC36">
        <f t="shared" si="22"/>
        <v>0.100061160930464</v>
      </c>
    </row>
    <row r="37" spans="1:29">
      <c r="A37">
        <v>2052</v>
      </c>
      <c r="C37">
        <v>0.774972465184465</v>
      </c>
      <c r="D37">
        <f t="shared" ref="D37:D68" si="23">C38-C37</f>
        <v>-0.00451823095840698</v>
      </c>
      <c r="E37">
        <v>0.740667667384627</v>
      </c>
      <c r="F37">
        <f t="shared" si="14"/>
        <v>-0.00557975819040812</v>
      </c>
      <c r="G37">
        <v>0.721786253139385</v>
      </c>
      <c r="H37">
        <f t="shared" si="15"/>
        <v>0.000518855750797798</v>
      </c>
      <c r="N37">
        <f t="shared" si="13"/>
        <v>77497.2465184465</v>
      </c>
      <c r="P37">
        <f t="shared" si="16"/>
        <v>74066.7667384627</v>
      </c>
      <c r="R37">
        <f t="shared" si="17"/>
        <v>72178.6253139385</v>
      </c>
      <c r="U37">
        <f t="shared" si="18"/>
        <v>-45.1823095840698</v>
      </c>
      <c r="W37">
        <f t="shared" si="19"/>
        <v>-55.7975819040812</v>
      </c>
      <c r="Y37">
        <f t="shared" si="20"/>
        <v>5.18855750797798</v>
      </c>
      <c r="AA37">
        <f t="shared" si="12"/>
        <v>0.249908217281549</v>
      </c>
      <c r="AB37">
        <f t="shared" si="21"/>
        <v>0.135558891282089</v>
      </c>
      <c r="AC37">
        <f t="shared" si="22"/>
        <v>0.0726208437979507</v>
      </c>
    </row>
    <row r="38" spans="1:29">
      <c r="A38">
        <v>2053</v>
      </c>
      <c r="C38">
        <v>0.770454234226058</v>
      </c>
      <c r="D38">
        <f t="shared" si="23"/>
        <v>-0.00443163430388005</v>
      </c>
      <c r="E38">
        <v>0.735087909194219</v>
      </c>
      <c r="F38">
        <f t="shared" si="14"/>
        <v>-0.00544646087666445</v>
      </c>
      <c r="G38">
        <v>0.722305108890183</v>
      </c>
      <c r="H38">
        <f t="shared" si="15"/>
        <v>0.00141974664988442</v>
      </c>
      <c r="N38">
        <f t="shared" si="13"/>
        <v>77045.4234226058</v>
      </c>
      <c r="P38">
        <f t="shared" si="16"/>
        <v>73508.7909194219</v>
      </c>
      <c r="R38">
        <f t="shared" si="17"/>
        <v>72230.5108890183</v>
      </c>
      <c r="U38">
        <f t="shared" si="18"/>
        <v>-44.3163430388005</v>
      </c>
      <c r="W38">
        <f t="shared" si="19"/>
        <v>-54.4646087666445</v>
      </c>
      <c r="Y38">
        <f t="shared" si="20"/>
        <v>14.1974664988442</v>
      </c>
      <c r="AA38">
        <f t="shared" si="12"/>
        <v>0.234847447420193</v>
      </c>
      <c r="AB38">
        <f t="shared" si="21"/>
        <v>0.116959697314062</v>
      </c>
      <c r="AC38">
        <f t="shared" si="22"/>
        <v>0.0743503629672767</v>
      </c>
    </row>
    <row r="39" spans="1:29">
      <c r="A39">
        <v>2054</v>
      </c>
      <c r="C39">
        <v>0.766022599922178</v>
      </c>
      <c r="D39">
        <f t="shared" si="23"/>
        <v>-0.00434951882556511</v>
      </c>
      <c r="E39">
        <v>0.729641448317554</v>
      </c>
      <c r="F39">
        <f t="shared" si="14"/>
        <v>-0.0052495979037922</v>
      </c>
      <c r="G39">
        <v>0.723724855540067</v>
      </c>
      <c r="H39">
        <f t="shared" si="15"/>
        <v>0.0015287073500978</v>
      </c>
      <c r="N39">
        <f t="shared" si="13"/>
        <v>76602.2599922178</v>
      </c>
      <c r="P39">
        <f t="shared" si="16"/>
        <v>72964.1448317554</v>
      </c>
      <c r="R39">
        <f t="shared" si="17"/>
        <v>72372.4855540067</v>
      </c>
      <c r="U39">
        <f t="shared" si="18"/>
        <v>-43.4951882556511</v>
      </c>
      <c r="W39">
        <f t="shared" si="19"/>
        <v>-52.495979037922</v>
      </c>
      <c r="Y39">
        <f t="shared" si="20"/>
        <v>15.287073500978</v>
      </c>
      <c r="AA39">
        <f t="shared" si="12"/>
        <v>0.220075333073926</v>
      </c>
      <c r="AB39">
        <f t="shared" si="21"/>
        <v>0.0988048277251803</v>
      </c>
      <c r="AC39">
        <f t="shared" si="22"/>
        <v>0.0790828518002247</v>
      </c>
    </row>
    <row r="40" spans="1:29">
      <c r="A40">
        <v>2055</v>
      </c>
      <c r="C40">
        <v>0.761673081096613</v>
      </c>
      <c r="D40">
        <f t="shared" si="23"/>
        <v>-0.00426821210235151</v>
      </c>
      <c r="E40">
        <v>0.724391850413762</v>
      </c>
      <c r="F40">
        <f t="shared" si="14"/>
        <v>-0.00400771455367721</v>
      </c>
      <c r="G40">
        <v>0.725253562890165</v>
      </c>
      <c r="H40">
        <f t="shared" si="15"/>
        <v>0.00166347966972413</v>
      </c>
      <c r="N40">
        <f t="shared" si="13"/>
        <v>76167.3081096613</v>
      </c>
      <c r="P40">
        <f t="shared" si="16"/>
        <v>72439.1850413762</v>
      </c>
      <c r="R40">
        <f t="shared" si="17"/>
        <v>72525.3562890165</v>
      </c>
      <c r="U40">
        <f t="shared" si="18"/>
        <v>-42.6821210235151</v>
      </c>
      <c r="W40">
        <f t="shared" si="19"/>
        <v>-40.0771455367721</v>
      </c>
      <c r="Y40">
        <f t="shared" si="20"/>
        <v>16.6347966972413</v>
      </c>
      <c r="AA40">
        <f t="shared" si="12"/>
        <v>0.205576936988709</v>
      </c>
      <c r="AB40">
        <f t="shared" si="21"/>
        <v>0.081306168045873</v>
      </c>
      <c r="AC40">
        <f t="shared" si="22"/>
        <v>0.0841785429672174</v>
      </c>
    </row>
    <row r="41" spans="1:29">
      <c r="A41">
        <v>2056</v>
      </c>
      <c r="C41">
        <v>0.757404868994261</v>
      </c>
      <c r="D41">
        <f t="shared" si="23"/>
        <v>-0.00417390281224317</v>
      </c>
      <c r="E41">
        <v>0.720384135860085</v>
      </c>
      <c r="F41">
        <f t="shared" si="14"/>
        <v>-0.0052986414605265</v>
      </c>
      <c r="G41">
        <v>0.726917042559889</v>
      </c>
      <c r="H41">
        <f t="shared" si="15"/>
        <v>0.00177722709798489</v>
      </c>
      <c r="N41">
        <f t="shared" si="13"/>
        <v>75740.4868994261</v>
      </c>
      <c r="P41">
        <f t="shared" si="16"/>
        <v>72038.4135860085</v>
      </c>
      <c r="R41">
        <f t="shared" si="17"/>
        <v>72691.7042559889</v>
      </c>
      <c r="U41">
        <f t="shared" si="18"/>
        <v>-41.7390281224317</v>
      </c>
      <c r="W41">
        <f t="shared" si="19"/>
        <v>-52.986414605265</v>
      </c>
      <c r="Y41">
        <f t="shared" si="20"/>
        <v>17.7722709798489</v>
      </c>
      <c r="AA41">
        <f t="shared" si="12"/>
        <v>0.191349563314204</v>
      </c>
      <c r="AB41">
        <f t="shared" si="21"/>
        <v>0.0679471195336156</v>
      </c>
      <c r="AC41">
        <f t="shared" si="22"/>
        <v>0.0897234751996312</v>
      </c>
    </row>
    <row r="42" spans="1:29">
      <c r="A42">
        <v>2057</v>
      </c>
      <c r="C42">
        <v>0.753230966182018</v>
      </c>
      <c r="D42">
        <f t="shared" si="23"/>
        <v>-0.00408431235624096</v>
      </c>
      <c r="E42">
        <v>0.715085494399558</v>
      </c>
      <c r="F42">
        <f t="shared" si="14"/>
        <v>-0.00102452039515</v>
      </c>
      <c r="G42">
        <v>0.728694269657874</v>
      </c>
      <c r="H42">
        <f t="shared" si="15"/>
        <v>0.00189491355107185</v>
      </c>
      <c r="N42">
        <f t="shared" si="13"/>
        <v>75323.0966182018</v>
      </c>
      <c r="P42">
        <f t="shared" si="16"/>
        <v>71508.5494399558</v>
      </c>
      <c r="R42">
        <f t="shared" si="17"/>
        <v>72869.4269657874</v>
      </c>
      <c r="U42">
        <f t="shared" si="18"/>
        <v>-40.8431235624096</v>
      </c>
      <c r="W42">
        <f t="shared" si="19"/>
        <v>-10.2452039515</v>
      </c>
      <c r="Y42">
        <f t="shared" si="20"/>
        <v>18.9491355107185</v>
      </c>
      <c r="AA42">
        <f t="shared" si="12"/>
        <v>0.17743655394006</v>
      </c>
      <c r="AB42">
        <f t="shared" si="21"/>
        <v>0.0502849813318606</v>
      </c>
      <c r="AC42">
        <f t="shared" si="22"/>
        <v>0.0956475655262475</v>
      </c>
    </row>
    <row r="43" spans="1:29">
      <c r="A43">
        <v>2058</v>
      </c>
      <c r="C43">
        <v>0.749146653825777</v>
      </c>
      <c r="D43">
        <f t="shared" si="23"/>
        <v>-0.00400212420689239</v>
      </c>
      <c r="E43">
        <v>0.714060974004408</v>
      </c>
      <c r="F43">
        <f t="shared" si="14"/>
        <v>0.00075496845824885</v>
      </c>
      <c r="G43">
        <v>0.730589183208946</v>
      </c>
      <c r="H43">
        <f t="shared" si="15"/>
        <v>0.00201897490696978</v>
      </c>
      <c r="N43">
        <f t="shared" si="13"/>
        <v>74914.6653825777</v>
      </c>
      <c r="P43">
        <f t="shared" si="16"/>
        <v>71406.0974004408</v>
      </c>
      <c r="R43">
        <f t="shared" si="17"/>
        <v>73058.9183208946</v>
      </c>
      <c r="U43">
        <f t="shared" si="18"/>
        <v>-40.0212420689239</v>
      </c>
      <c r="W43">
        <f t="shared" si="19"/>
        <v>7.5496845824885</v>
      </c>
      <c r="Y43">
        <f t="shared" si="20"/>
        <v>20.1897490696978</v>
      </c>
      <c r="AA43">
        <f t="shared" si="12"/>
        <v>0.163822179419257</v>
      </c>
      <c r="AB43">
        <f t="shared" si="21"/>
        <v>0.0468699133480273</v>
      </c>
      <c r="AC43">
        <f t="shared" si="22"/>
        <v>0.10196394402982</v>
      </c>
    </row>
    <row r="44" spans="1:29">
      <c r="A44">
        <v>2059</v>
      </c>
      <c r="C44">
        <v>0.745144529618885</v>
      </c>
      <c r="D44">
        <f t="shared" si="23"/>
        <v>-0.00392105224922956</v>
      </c>
      <c r="E44">
        <v>0.714815942462657</v>
      </c>
      <c r="F44">
        <f t="shared" si="14"/>
        <v>0.000789872265845704</v>
      </c>
      <c r="G44">
        <v>0.732608158115916</v>
      </c>
      <c r="H44">
        <f t="shared" si="15"/>
        <v>0.00214663697379736</v>
      </c>
      <c r="N44">
        <f t="shared" si="13"/>
        <v>74514.4529618885</v>
      </c>
      <c r="P44">
        <f t="shared" si="16"/>
        <v>71481.5942462657</v>
      </c>
      <c r="R44">
        <f t="shared" si="17"/>
        <v>73260.8158115916</v>
      </c>
      <c r="U44">
        <f t="shared" si="18"/>
        <v>-39.2105224922956</v>
      </c>
      <c r="W44">
        <f t="shared" si="19"/>
        <v>7.89872265845704</v>
      </c>
      <c r="Y44">
        <f t="shared" si="20"/>
        <v>21.4663697379736</v>
      </c>
      <c r="AA44">
        <f t="shared" si="12"/>
        <v>0.150481765396282</v>
      </c>
      <c r="AB44">
        <f t="shared" si="21"/>
        <v>0.0493864748755235</v>
      </c>
      <c r="AC44">
        <f t="shared" si="22"/>
        <v>0.108693860386386</v>
      </c>
    </row>
    <row r="45" spans="1:29">
      <c r="A45">
        <v>2060</v>
      </c>
      <c r="C45">
        <v>0.741223477369655</v>
      </c>
      <c r="D45">
        <f t="shared" si="23"/>
        <v>-0.0038837761177033</v>
      </c>
      <c r="E45">
        <v>0.715605814728503</v>
      </c>
      <c r="F45">
        <f t="shared" si="14"/>
        <v>0.000813811053213209</v>
      </c>
      <c r="G45">
        <v>0.734754795089713</v>
      </c>
      <c r="H45">
        <f t="shared" si="15"/>
        <v>0.00220799353004775</v>
      </c>
      <c r="N45">
        <f t="shared" si="13"/>
        <v>74122.3477369655</v>
      </c>
      <c r="P45">
        <f t="shared" si="16"/>
        <v>71560.5814728503</v>
      </c>
      <c r="R45">
        <f t="shared" si="17"/>
        <v>73475.4795089713</v>
      </c>
      <c r="U45">
        <f t="shared" si="18"/>
        <v>-38.837761177033</v>
      </c>
      <c r="W45">
        <f t="shared" si="19"/>
        <v>8.13811053213209</v>
      </c>
      <c r="Y45">
        <f t="shared" si="20"/>
        <v>22.0799353004775</v>
      </c>
      <c r="AA45">
        <f t="shared" si="12"/>
        <v>0.137411591232183</v>
      </c>
      <c r="AB45">
        <f t="shared" si="21"/>
        <v>0.0520193824283425</v>
      </c>
      <c r="AC45">
        <f t="shared" si="22"/>
        <v>0.115849316965711</v>
      </c>
    </row>
    <row r="46" spans="1:29">
      <c r="A46">
        <v>2061</v>
      </c>
      <c r="C46">
        <v>0.737339701251952</v>
      </c>
      <c r="D46">
        <f t="shared" si="23"/>
        <v>-0.00360914817072266</v>
      </c>
      <c r="E46">
        <v>0.716419625781716</v>
      </c>
      <c r="F46">
        <f t="shared" si="14"/>
        <v>0.000857227347432321</v>
      </c>
      <c r="G46">
        <v>0.736962788619761</v>
      </c>
      <c r="H46">
        <f t="shared" si="15"/>
        <v>0.00233263147124751</v>
      </c>
      <c r="N46">
        <f t="shared" si="13"/>
        <v>73733.9701251952</v>
      </c>
      <c r="P46">
        <f t="shared" si="16"/>
        <v>71641.9625781716</v>
      </c>
      <c r="R46">
        <f t="shared" si="17"/>
        <v>73696.2788619761</v>
      </c>
      <c r="U46">
        <f t="shared" si="18"/>
        <v>-36.0914817072266</v>
      </c>
      <c r="W46">
        <f t="shared" si="19"/>
        <v>8.57227347432321</v>
      </c>
      <c r="Y46">
        <f t="shared" si="20"/>
        <v>23.3263147124751</v>
      </c>
      <c r="AA46">
        <f t="shared" si="12"/>
        <v>0.124465670839839</v>
      </c>
      <c r="AB46">
        <f t="shared" si="21"/>
        <v>0.0547320859390532</v>
      </c>
      <c r="AC46">
        <f t="shared" si="22"/>
        <v>0.123209295399203</v>
      </c>
    </row>
    <row r="47" spans="1:29">
      <c r="A47">
        <v>2062</v>
      </c>
      <c r="C47">
        <v>0.733730553081229</v>
      </c>
      <c r="D47">
        <f t="shared" si="23"/>
        <v>-0.00367449882799642</v>
      </c>
      <c r="E47">
        <v>0.717276853129148</v>
      </c>
      <c r="F47">
        <f t="shared" si="14"/>
        <v>0.000834322155394918</v>
      </c>
      <c r="G47">
        <v>0.739295420091008</v>
      </c>
      <c r="H47">
        <f t="shared" si="15"/>
        <v>0.00245969569396276</v>
      </c>
      <c r="N47">
        <f t="shared" si="13"/>
        <v>73373.0553081229</v>
      </c>
      <c r="P47">
        <f t="shared" si="16"/>
        <v>71727.6853129148</v>
      </c>
      <c r="R47">
        <f t="shared" si="17"/>
        <v>73929.5420091008</v>
      </c>
      <c r="U47">
        <f t="shared" si="18"/>
        <v>-36.7449882799642</v>
      </c>
      <c r="W47">
        <f t="shared" si="19"/>
        <v>8.34322155394918</v>
      </c>
      <c r="Y47">
        <f t="shared" si="20"/>
        <v>24.5969569396276</v>
      </c>
      <c r="AA47">
        <f t="shared" si="12"/>
        <v>0.11243517693743</v>
      </c>
      <c r="AB47">
        <f t="shared" si="21"/>
        <v>0.0575895104304943</v>
      </c>
      <c r="AC47">
        <f t="shared" si="22"/>
        <v>0.130984733636695</v>
      </c>
    </row>
    <row r="48" spans="1:29">
      <c r="A48">
        <v>2063</v>
      </c>
      <c r="C48">
        <v>0.730056054253233</v>
      </c>
      <c r="D48">
        <f t="shared" si="23"/>
        <v>-0.00366409774613696</v>
      </c>
      <c r="E48">
        <v>0.718111175284543</v>
      </c>
      <c r="F48">
        <f t="shared" si="14"/>
        <v>0.000922004702122226</v>
      </c>
      <c r="G48">
        <v>0.741755115784971</v>
      </c>
      <c r="H48">
        <f t="shared" si="15"/>
        <v>0.00257408685459759</v>
      </c>
      <c r="N48">
        <f t="shared" si="13"/>
        <v>73005.6054253233</v>
      </c>
      <c r="P48">
        <f t="shared" si="16"/>
        <v>71811.1175284543</v>
      </c>
      <c r="R48">
        <f t="shared" si="17"/>
        <v>74175.5115784971</v>
      </c>
      <c r="U48">
        <f t="shared" si="18"/>
        <v>-36.6409774613696</v>
      </c>
      <c r="W48">
        <f t="shared" si="19"/>
        <v>9.22004702122226</v>
      </c>
      <c r="Y48">
        <f t="shared" si="20"/>
        <v>25.7408685459759</v>
      </c>
      <c r="AA48">
        <f t="shared" si="12"/>
        <v>0.100186847510776</v>
      </c>
      <c r="AB48">
        <f t="shared" si="21"/>
        <v>0.0603705842818107</v>
      </c>
      <c r="AC48">
        <f t="shared" si="22"/>
        <v>0.139183719283238</v>
      </c>
    </row>
    <row r="49" spans="1:29">
      <c r="A49">
        <v>2064</v>
      </c>
      <c r="C49">
        <v>0.726391956507096</v>
      </c>
      <c r="D49">
        <f t="shared" si="23"/>
        <v>-0.00362138338059148</v>
      </c>
      <c r="E49">
        <v>0.719033179986665</v>
      </c>
      <c r="F49">
        <f t="shared" si="14"/>
        <v>0.000924634888695763</v>
      </c>
      <c r="G49">
        <v>0.744329202639569</v>
      </c>
      <c r="H49">
        <f t="shared" si="15"/>
        <v>0.00268760395435219</v>
      </c>
      <c r="N49">
        <f t="shared" si="13"/>
        <v>72639.1956507096</v>
      </c>
      <c r="P49">
        <f t="shared" si="16"/>
        <v>71903.3179986665</v>
      </c>
      <c r="R49">
        <f t="shared" si="17"/>
        <v>74432.9202639569</v>
      </c>
      <c r="U49">
        <f t="shared" si="18"/>
        <v>-36.2138338059148</v>
      </c>
      <c r="W49">
        <f t="shared" si="19"/>
        <v>9.24634888695763</v>
      </c>
      <c r="Y49">
        <f t="shared" si="20"/>
        <v>26.8760395435219</v>
      </c>
      <c r="AA49">
        <f t="shared" si="12"/>
        <v>0.0879731883569856</v>
      </c>
      <c r="AB49">
        <f t="shared" si="21"/>
        <v>0.0634439332888847</v>
      </c>
      <c r="AC49">
        <f t="shared" si="22"/>
        <v>0.147764008798563</v>
      </c>
    </row>
    <row r="50" spans="1:29">
      <c r="A50">
        <v>2065</v>
      </c>
      <c r="C50">
        <v>0.722770573126504</v>
      </c>
      <c r="D50">
        <f t="shared" si="23"/>
        <v>-0.00357083557729043</v>
      </c>
      <c r="E50">
        <v>0.719957814875361</v>
      </c>
      <c r="F50">
        <f t="shared" si="14"/>
        <v>0.000932078099667333</v>
      </c>
      <c r="G50">
        <v>0.747016806593921</v>
      </c>
      <c r="H50">
        <f t="shared" si="15"/>
        <v>0.00279479056662524</v>
      </c>
      <c r="N50">
        <f t="shared" si="13"/>
        <v>72277.0573126504</v>
      </c>
      <c r="P50">
        <f t="shared" si="16"/>
        <v>71995.7814875361</v>
      </c>
      <c r="R50">
        <f t="shared" si="17"/>
        <v>74701.6806593921</v>
      </c>
      <c r="U50">
        <f t="shared" si="18"/>
        <v>-35.7083557729043</v>
      </c>
      <c r="W50">
        <f t="shared" si="19"/>
        <v>9.32078099667333</v>
      </c>
      <c r="Y50">
        <f t="shared" si="20"/>
        <v>27.9479056662524</v>
      </c>
      <c r="AA50">
        <f t="shared" si="12"/>
        <v>0.0759019104216807</v>
      </c>
      <c r="AB50">
        <f t="shared" si="21"/>
        <v>0.0665260495845373</v>
      </c>
      <c r="AC50">
        <f t="shared" si="22"/>
        <v>0.156722688646403</v>
      </c>
    </row>
    <row r="51" spans="1:29">
      <c r="A51">
        <v>2066</v>
      </c>
      <c r="C51">
        <v>0.719199737549214</v>
      </c>
      <c r="D51">
        <f t="shared" si="23"/>
        <v>-0.000270919750495535</v>
      </c>
      <c r="E51">
        <v>0.720889892975028</v>
      </c>
      <c r="F51">
        <f t="shared" si="14"/>
        <v>0.00101913232317419</v>
      </c>
      <c r="G51">
        <v>0.749811597160546</v>
      </c>
      <c r="H51">
        <f t="shared" si="15"/>
        <v>0.00289172423415962</v>
      </c>
      <c r="N51">
        <f t="shared" si="13"/>
        <v>71919.9737549214</v>
      </c>
      <c r="P51">
        <f t="shared" si="16"/>
        <v>72088.9892975028</v>
      </c>
      <c r="R51">
        <f t="shared" si="17"/>
        <v>74981.1597160546</v>
      </c>
      <c r="U51">
        <f t="shared" si="18"/>
        <v>-2.70919750495535</v>
      </c>
      <c r="W51">
        <f t="shared" si="19"/>
        <v>10.1913232317419</v>
      </c>
      <c r="Y51">
        <f t="shared" si="20"/>
        <v>28.9172423415962</v>
      </c>
      <c r="AA51">
        <f t="shared" ref="AA51:AA82" si="24">(C51-0.7)/(1-0.7)</f>
        <v>0.0639991251640459</v>
      </c>
      <c r="AB51">
        <f t="shared" si="21"/>
        <v>0.0696329765834284</v>
      </c>
      <c r="AC51">
        <f t="shared" si="22"/>
        <v>0.166038657201821</v>
      </c>
    </row>
    <row r="52" spans="1:29">
      <c r="A52">
        <v>2067</v>
      </c>
      <c r="C52">
        <v>0.718928817798718</v>
      </c>
      <c r="D52">
        <f t="shared" si="23"/>
        <v>0.000672211404525891</v>
      </c>
      <c r="E52">
        <v>0.721909025298203</v>
      </c>
      <c r="F52">
        <f t="shared" si="14"/>
        <v>0.000993282980797816</v>
      </c>
      <c r="G52">
        <v>0.752703321394706</v>
      </c>
      <c r="H52">
        <f t="shared" si="15"/>
        <v>0.00297568654589331</v>
      </c>
      <c r="N52">
        <f t="shared" si="13"/>
        <v>71892.8817798718</v>
      </c>
      <c r="P52">
        <f t="shared" si="16"/>
        <v>72190.9025298203</v>
      </c>
      <c r="R52">
        <f t="shared" si="17"/>
        <v>75270.3321394706</v>
      </c>
      <c r="U52">
        <f t="shared" si="18"/>
        <v>6.72211404525891</v>
      </c>
      <c r="W52">
        <f t="shared" si="19"/>
        <v>9.93282980797816</v>
      </c>
      <c r="Y52">
        <f t="shared" si="20"/>
        <v>29.7568654589331</v>
      </c>
      <c r="AA52">
        <f t="shared" si="24"/>
        <v>0.0630960593290608</v>
      </c>
      <c r="AB52">
        <f t="shared" si="21"/>
        <v>0.0730300843273424</v>
      </c>
      <c r="AC52">
        <f t="shared" si="22"/>
        <v>0.175677737982353</v>
      </c>
    </row>
    <row r="53" spans="1:29">
      <c r="A53">
        <v>2068</v>
      </c>
      <c r="C53">
        <v>0.719601029203244</v>
      </c>
      <c r="D53">
        <f t="shared" si="23"/>
        <v>0.000695072289480847</v>
      </c>
      <c r="E53">
        <v>0.722902308279</v>
      </c>
      <c r="F53">
        <f t="shared" si="14"/>
        <v>0.00108534297592189</v>
      </c>
      <c r="G53">
        <v>0.755679007940599</v>
      </c>
      <c r="H53">
        <f t="shared" si="15"/>
        <v>0.0030439662435342</v>
      </c>
      <c r="N53">
        <f t="shared" si="13"/>
        <v>71960.1029203244</v>
      </c>
      <c r="P53">
        <f t="shared" si="16"/>
        <v>72290.2308279</v>
      </c>
      <c r="R53">
        <f t="shared" si="17"/>
        <v>75567.9007940599</v>
      </c>
      <c r="U53">
        <f t="shared" si="18"/>
        <v>6.95072289480847</v>
      </c>
      <c r="W53">
        <f t="shared" si="19"/>
        <v>10.8534297592189</v>
      </c>
      <c r="Y53">
        <f t="shared" si="20"/>
        <v>30.439662435342</v>
      </c>
      <c r="AA53">
        <f t="shared" si="24"/>
        <v>0.0653367640108138</v>
      </c>
      <c r="AB53">
        <f t="shared" si="21"/>
        <v>0.0763410275966684</v>
      </c>
      <c r="AC53">
        <f t="shared" si="22"/>
        <v>0.185596693135331</v>
      </c>
    </row>
    <row r="54" spans="1:29">
      <c r="A54">
        <v>2069</v>
      </c>
      <c r="C54">
        <v>0.720296101492725</v>
      </c>
      <c r="D54">
        <f t="shared" si="23"/>
        <v>0.000718148927871476</v>
      </c>
      <c r="E54">
        <v>0.723987651254922</v>
      </c>
      <c r="F54">
        <f t="shared" si="14"/>
        <v>0.00106567214667563</v>
      </c>
      <c r="G54">
        <v>0.758722974184133</v>
      </c>
      <c r="H54">
        <f t="shared" si="15"/>
        <v>0.00313126432880018</v>
      </c>
      <c r="N54">
        <f t="shared" si="13"/>
        <v>72029.6101492725</v>
      </c>
      <c r="P54">
        <f t="shared" si="16"/>
        <v>72398.7651254922</v>
      </c>
      <c r="R54">
        <f t="shared" si="17"/>
        <v>75872.2974184133</v>
      </c>
      <c r="U54">
        <f t="shared" si="18"/>
        <v>7.18148927871476</v>
      </c>
      <c r="W54">
        <f t="shared" si="19"/>
        <v>10.6567214667563</v>
      </c>
      <c r="Y54">
        <f t="shared" si="20"/>
        <v>31.3126432880018</v>
      </c>
      <c r="AA54">
        <f t="shared" si="24"/>
        <v>0.0676536716424166</v>
      </c>
      <c r="AB54">
        <f t="shared" si="21"/>
        <v>0.079958837516408</v>
      </c>
      <c r="AC54">
        <f t="shared" si="22"/>
        <v>0.195743247280445</v>
      </c>
    </row>
    <row r="55" spans="1:29">
      <c r="A55">
        <v>2070</v>
      </c>
      <c r="C55">
        <v>0.721014250420596</v>
      </c>
      <c r="D55">
        <f t="shared" si="23"/>
        <v>0.000715842346138529</v>
      </c>
      <c r="E55">
        <v>0.725053323401598</v>
      </c>
      <c r="F55">
        <f t="shared" si="14"/>
        <v>0.00113256372087334</v>
      </c>
      <c r="G55">
        <v>0.761854238512934</v>
      </c>
      <c r="H55">
        <f t="shared" si="15"/>
        <v>0.00305012997887355</v>
      </c>
      <c r="N55">
        <f t="shared" si="13"/>
        <v>72101.4250420596</v>
      </c>
      <c r="P55">
        <f t="shared" si="16"/>
        <v>72505.3323401598</v>
      </c>
      <c r="R55">
        <f t="shared" si="17"/>
        <v>76185.4238512934</v>
      </c>
      <c r="U55">
        <f t="shared" si="18"/>
        <v>7.15842346138529</v>
      </c>
      <c r="W55">
        <f t="shared" si="19"/>
        <v>11.3256372087334</v>
      </c>
      <c r="Y55">
        <f t="shared" si="20"/>
        <v>30.5012997887355</v>
      </c>
      <c r="AA55">
        <f t="shared" si="24"/>
        <v>0.0700475014019882</v>
      </c>
      <c r="AB55">
        <f t="shared" si="21"/>
        <v>0.0835110780053268</v>
      </c>
      <c r="AC55">
        <f t="shared" si="22"/>
        <v>0.206180795043112</v>
      </c>
    </row>
    <row r="56" spans="1:29">
      <c r="A56">
        <v>2071</v>
      </c>
      <c r="C56">
        <v>0.721730092766735</v>
      </c>
      <c r="D56">
        <f t="shared" si="23"/>
        <v>0.000738732159101696</v>
      </c>
      <c r="E56">
        <v>0.726185887122471</v>
      </c>
      <c r="F56">
        <f t="shared" si="14"/>
        <v>0.00111170202993183</v>
      </c>
      <c r="G56">
        <v>0.764904368491807</v>
      </c>
      <c r="H56">
        <f t="shared" si="15"/>
        <v>0.00306530695081964</v>
      </c>
      <c r="N56">
        <f t="shared" si="13"/>
        <v>72173.0092766735</v>
      </c>
      <c r="P56">
        <f t="shared" si="16"/>
        <v>72618.5887122471</v>
      </c>
      <c r="R56">
        <f t="shared" si="17"/>
        <v>76490.4368491807</v>
      </c>
      <c r="U56">
        <f t="shared" si="18"/>
        <v>7.38732159101696</v>
      </c>
      <c r="W56">
        <f t="shared" si="19"/>
        <v>11.1170202993183</v>
      </c>
      <c r="Y56">
        <f t="shared" si="20"/>
        <v>30.6530695081964</v>
      </c>
      <c r="AA56">
        <f t="shared" si="24"/>
        <v>0.0724336425557833</v>
      </c>
      <c r="AB56">
        <f t="shared" si="21"/>
        <v>0.0872862904082379</v>
      </c>
      <c r="AC56">
        <f t="shared" si="22"/>
        <v>0.21634789497269</v>
      </c>
    </row>
    <row r="57" spans="1:29">
      <c r="A57">
        <v>2072</v>
      </c>
      <c r="C57">
        <v>0.722468824925837</v>
      </c>
      <c r="D57">
        <f t="shared" si="23"/>
        <v>0.00076178328500931</v>
      </c>
      <c r="E57">
        <v>0.727297589152403</v>
      </c>
      <c r="F57">
        <f t="shared" si="14"/>
        <v>0.00119538639716055</v>
      </c>
      <c r="G57">
        <v>0.767969675442627</v>
      </c>
      <c r="H57">
        <f t="shared" si="15"/>
        <v>0.00302191384894801</v>
      </c>
      <c r="N57">
        <f t="shared" ref="N57:N85" si="25">C57*100000</f>
        <v>72246.8824925837</v>
      </c>
      <c r="P57">
        <f t="shared" si="16"/>
        <v>72729.7589152403</v>
      </c>
      <c r="R57">
        <f t="shared" si="17"/>
        <v>76796.9675442627</v>
      </c>
      <c r="U57">
        <f t="shared" si="18"/>
        <v>7.6178328500931</v>
      </c>
      <c r="W57">
        <f t="shared" si="19"/>
        <v>11.9538639716055</v>
      </c>
      <c r="Y57">
        <f t="shared" si="20"/>
        <v>30.2191384894801</v>
      </c>
      <c r="AA57">
        <f t="shared" si="24"/>
        <v>0.0748960830861223</v>
      </c>
      <c r="AB57">
        <f t="shared" si="21"/>
        <v>0.090991963841344</v>
      </c>
      <c r="AC57">
        <f t="shared" si="22"/>
        <v>0.226565584808756</v>
      </c>
    </row>
    <row r="58" spans="1:29">
      <c r="A58">
        <v>2073</v>
      </c>
      <c r="C58">
        <v>0.723230608210846</v>
      </c>
      <c r="D58">
        <f t="shared" si="23"/>
        <v>0.000785156513224305</v>
      </c>
      <c r="E58">
        <v>0.728492975549564</v>
      </c>
      <c r="F58">
        <f t="shared" si="14"/>
        <v>0.00117828356946037</v>
      </c>
      <c r="G58">
        <v>0.770991589291575</v>
      </c>
      <c r="H58">
        <f t="shared" si="15"/>
        <v>0.00296036539794486</v>
      </c>
      <c r="N58">
        <f t="shared" si="25"/>
        <v>72323.0608210846</v>
      </c>
      <c r="P58">
        <f t="shared" si="16"/>
        <v>72849.2975549564</v>
      </c>
      <c r="R58">
        <f t="shared" si="17"/>
        <v>77099.1589291575</v>
      </c>
      <c r="U58">
        <f t="shared" si="18"/>
        <v>7.85156513224305</v>
      </c>
      <c r="W58">
        <f t="shared" si="19"/>
        <v>11.7828356946037</v>
      </c>
      <c r="Y58">
        <f t="shared" si="20"/>
        <v>29.6036539794486</v>
      </c>
      <c r="AA58">
        <f t="shared" si="24"/>
        <v>0.07743536070282</v>
      </c>
      <c r="AB58">
        <f t="shared" si="21"/>
        <v>0.0949765851652125</v>
      </c>
      <c r="AC58">
        <f t="shared" si="22"/>
        <v>0.236638630971916</v>
      </c>
    </row>
    <row r="59" spans="1:29">
      <c r="A59">
        <v>2074</v>
      </c>
      <c r="C59">
        <v>0.72401576472407</v>
      </c>
      <c r="D59">
        <f t="shared" si="23"/>
        <v>0.000808796848142279</v>
      </c>
      <c r="E59">
        <v>0.729671259119024</v>
      </c>
      <c r="F59">
        <f t="shared" si="14"/>
        <v>0.00125005352666274</v>
      </c>
      <c r="G59">
        <v>0.77395195468952</v>
      </c>
      <c r="H59">
        <f t="shared" si="15"/>
        <v>0.00287552081744646</v>
      </c>
      <c r="N59">
        <f t="shared" si="25"/>
        <v>72401.576472407</v>
      </c>
      <c r="P59">
        <f t="shared" si="16"/>
        <v>72967.1259119024</v>
      </c>
      <c r="R59">
        <f t="shared" si="17"/>
        <v>77395.195468952</v>
      </c>
      <c r="U59">
        <f t="shared" si="18"/>
        <v>8.08796848142279</v>
      </c>
      <c r="W59">
        <f t="shared" si="19"/>
        <v>12.5005352666274</v>
      </c>
      <c r="Y59">
        <f t="shared" si="20"/>
        <v>28.7552081744646</v>
      </c>
      <c r="AA59">
        <f t="shared" si="24"/>
        <v>0.0800525490802343</v>
      </c>
      <c r="AB59">
        <f t="shared" si="21"/>
        <v>0.0989041970634137</v>
      </c>
      <c r="AC59">
        <f t="shared" si="22"/>
        <v>0.246506515631732</v>
      </c>
    </row>
    <row r="60" spans="1:29">
      <c r="A60">
        <v>2075</v>
      </c>
      <c r="C60">
        <v>0.724824561572213</v>
      </c>
      <c r="D60">
        <f t="shared" si="23"/>
        <v>0.000832649496813609</v>
      </c>
      <c r="E60">
        <v>0.730921312645687</v>
      </c>
      <c r="F60">
        <f t="shared" si="14"/>
        <v>0.00124195758704837</v>
      </c>
      <c r="G60">
        <v>0.776827475506966</v>
      </c>
      <c r="H60">
        <f t="shared" si="15"/>
        <v>0.00276794922307</v>
      </c>
      <c r="N60">
        <f t="shared" si="25"/>
        <v>72482.4561572213</v>
      </c>
      <c r="P60">
        <f t="shared" si="16"/>
        <v>73092.1312645687</v>
      </c>
      <c r="R60">
        <f t="shared" si="17"/>
        <v>77682.7475506966</v>
      </c>
      <c r="U60">
        <f t="shared" si="18"/>
        <v>8.32649496813609</v>
      </c>
      <c r="W60">
        <f t="shared" si="19"/>
        <v>12.4195758704837</v>
      </c>
      <c r="Y60">
        <f t="shared" si="20"/>
        <v>27.6794922307</v>
      </c>
      <c r="AA60">
        <f t="shared" si="24"/>
        <v>0.0827485385740419</v>
      </c>
      <c r="AB60">
        <f t="shared" si="21"/>
        <v>0.10307104215229</v>
      </c>
      <c r="AC60">
        <f t="shared" si="22"/>
        <v>0.25609158502322</v>
      </c>
    </row>
    <row r="61" spans="1:29">
      <c r="A61">
        <v>2076</v>
      </c>
      <c r="C61">
        <v>0.725657211069026</v>
      </c>
      <c r="D61">
        <f t="shared" si="23"/>
        <v>0.000856655043335763</v>
      </c>
      <c r="E61">
        <v>0.732163270232735</v>
      </c>
      <c r="F61">
        <f t="shared" si="14"/>
        <v>0.00129631443196732</v>
      </c>
      <c r="G61">
        <v>0.779595424730036</v>
      </c>
      <c r="H61">
        <f t="shared" si="15"/>
        <v>0.00263863765483852</v>
      </c>
      <c r="N61">
        <f t="shared" si="25"/>
        <v>72565.7211069026</v>
      </c>
      <c r="P61">
        <f t="shared" si="16"/>
        <v>73216.3270232735</v>
      </c>
      <c r="R61">
        <f t="shared" si="17"/>
        <v>77959.5424730036</v>
      </c>
      <c r="U61">
        <f t="shared" si="18"/>
        <v>8.56655043335763</v>
      </c>
      <c r="W61">
        <f t="shared" si="19"/>
        <v>12.9631443196732</v>
      </c>
      <c r="Y61">
        <f t="shared" si="20"/>
        <v>26.3863765483852</v>
      </c>
      <c r="AA61">
        <f t="shared" si="24"/>
        <v>0.0855240368967539</v>
      </c>
      <c r="AB61">
        <f t="shared" si="21"/>
        <v>0.107210900775784</v>
      </c>
      <c r="AC61">
        <f t="shared" si="22"/>
        <v>0.265318082433454</v>
      </c>
    </row>
    <row r="62" spans="1:29">
      <c r="A62">
        <v>2077</v>
      </c>
      <c r="C62">
        <v>0.726513866112362</v>
      </c>
      <c r="D62">
        <f t="shared" si="23"/>
        <v>0.000880750033987132</v>
      </c>
      <c r="E62">
        <v>0.733459584664703</v>
      </c>
      <c r="F62">
        <f t="shared" si="14"/>
        <v>0.0013775556694785</v>
      </c>
      <c r="G62">
        <v>0.782234062384875</v>
      </c>
      <c r="H62">
        <f t="shared" si="15"/>
        <v>0.00248994930952273</v>
      </c>
      <c r="N62">
        <f t="shared" si="25"/>
        <v>72651.3866112362</v>
      </c>
      <c r="P62">
        <f t="shared" si="16"/>
        <v>73345.9584664703</v>
      </c>
      <c r="R62">
        <f t="shared" si="17"/>
        <v>78223.4062384875</v>
      </c>
      <c r="U62">
        <f t="shared" si="18"/>
        <v>8.80750033987132</v>
      </c>
      <c r="W62">
        <f t="shared" si="19"/>
        <v>13.775556694785</v>
      </c>
      <c r="Y62">
        <f t="shared" si="20"/>
        <v>24.8994930952273</v>
      </c>
      <c r="AA62">
        <f t="shared" si="24"/>
        <v>0.0883795537078731</v>
      </c>
      <c r="AB62">
        <f t="shared" si="21"/>
        <v>0.111531948882342</v>
      </c>
      <c r="AC62">
        <f t="shared" si="22"/>
        <v>0.274113541282915</v>
      </c>
    </row>
    <row r="63" spans="1:29">
      <c r="A63">
        <v>2078</v>
      </c>
      <c r="C63">
        <v>0.727394616146349</v>
      </c>
      <c r="D63">
        <f t="shared" si="23"/>
        <v>0.00090404200012395</v>
      </c>
      <c r="E63">
        <v>0.734837140334181</v>
      </c>
      <c r="F63">
        <f t="shared" si="14"/>
        <v>0.0014148464089484</v>
      </c>
      <c r="G63">
        <v>0.784724011694397</v>
      </c>
      <c r="H63">
        <f t="shared" si="15"/>
        <v>0.00232508925888808</v>
      </c>
      <c r="N63">
        <f t="shared" si="25"/>
        <v>72739.4616146349</v>
      </c>
      <c r="P63">
        <f t="shared" si="16"/>
        <v>73483.7140334181</v>
      </c>
      <c r="R63">
        <f t="shared" si="17"/>
        <v>78472.4011694397</v>
      </c>
      <c r="U63">
        <f t="shared" si="18"/>
        <v>9.0404200012395</v>
      </c>
      <c r="W63">
        <f t="shared" si="19"/>
        <v>14.148464089484</v>
      </c>
      <c r="Y63">
        <f t="shared" si="20"/>
        <v>23.2508925888808</v>
      </c>
      <c r="AA63">
        <f t="shared" si="24"/>
        <v>0.0913153871544969</v>
      </c>
      <c r="AB63">
        <f t="shared" si="21"/>
        <v>0.116123801113937</v>
      </c>
      <c r="AC63">
        <f t="shared" si="22"/>
        <v>0.282413372314658</v>
      </c>
    </row>
    <row r="64" spans="1:29">
      <c r="A64">
        <v>2079</v>
      </c>
      <c r="C64">
        <v>0.728298658146473</v>
      </c>
      <c r="D64">
        <f t="shared" si="23"/>
        <v>0.000926771588431463</v>
      </c>
      <c r="E64">
        <v>0.736251986743129</v>
      </c>
      <c r="F64">
        <f t="shared" si="14"/>
        <v>0.00144613285068229</v>
      </c>
      <c r="G64">
        <v>0.787049100953285</v>
      </c>
      <c r="H64">
        <f t="shared" si="15"/>
        <v>0.0021477284629936</v>
      </c>
      <c r="N64">
        <f t="shared" si="25"/>
        <v>72829.8658146473</v>
      </c>
      <c r="P64">
        <f t="shared" si="16"/>
        <v>73625.1986743129</v>
      </c>
      <c r="R64">
        <f t="shared" si="17"/>
        <v>78704.9100953285</v>
      </c>
      <c r="U64">
        <f t="shared" si="18"/>
        <v>9.26771588431463</v>
      </c>
      <c r="W64">
        <f t="shared" si="19"/>
        <v>14.4613285068229</v>
      </c>
      <c r="Y64">
        <f t="shared" si="20"/>
        <v>21.477284629936</v>
      </c>
      <c r="AA64">
        <f t="shared" si="24"/>
        <v>0.0943288604882434</v>
      </c>
      <c r="AB64">
        <f t="shared" si="21"/>
        <v>0.120839955810432</v>
      </c>
      <c r="AC64">
        <f t="shared" si="22"/>
        <v>0.290163669844285</v>
      </c>
    </row>
    <row r="65" spans="1:29">
      <c r="A65">
        <v>2080</v>
      </c>
      <c r="C65">
        <v>0.729225429734904</v>
      </c>
      <c r="D65">
        <f t="shared" si="23"/>
        <v>0.000921761161258083</v>
      </c>
      <c r="E65">
        <v>0.737698119593812</v>
      </c>
      <c r="F65">
        <f t="shared" si="14"/>
        <v>0.00144007083024211</v>
      </c>
      <c r="G65">
        <v>0.789196829416279</v>
      </c>
      <c r="H65">
        <f t="shared" si="15"/>
        <v>0.00195559579580451</v>
      </c>
      <c r="N65">
        <f t="shared" si="25"/>
        <v>72922.5429734904</v>
      </c>
      <c r="P65">
        <f t="shared" si="16"/>
        <v>73769.8119593812</v>
      </c>
      <c r="R65">
        <f t="shared" si="17"/>
        <v>78919.6829416279</v>
      </c>
      <c r="U65">
        <f t="shared" si="18"/>
        <v>9.21761161258083</v>
      </c>
      <c r="W65">
        <f t="shared" si="19"/>
        <v>14.4007083024211</v>
      </c>
      <c r="Y65">
        <f t="shared" si="20"/>
        <v>19.5559579580451</v>
      </c>
      <c r="AA65">
        <f t="shared" si="24"/>
        <v>0.0974180991163483</v>
      </c>
      <c r="AB65">
        <f t="shared" si="21"/>
        <v>0.125660398646039</v>
      </c>
      <c r="AC65">
        <f t="shared" si="22"/>
        <v>0.29732276472093</v>
      </c>
    </row>
    <row r="66" spans="1:29">
      <c r="A66">
        <v>2081</v>
      </c>
      <c r="C66">
        <v>0.730147190896163</v>
      </c>
      <c r="D66">
        <f t="shared" si="23"/>
        <v>0.000943384901024746</v>
      </c>
      <c r="E66">
        <v>0.739138190424054</v>
      </c>
      <c r="F66">
        <f t="shared" si="14"/>
        <v>0.00146651764057815</v>
      </c>
      <c r="G66">
        <v>0.791152425212084</v>
      </c>
      <c r="H66">
        <f t="shared" si="15"/>
        <v>0.00169998170394037</v>
      </c>
      <c r="N66">
        <f t="shared" si="25"/>
        <v>73014.7190896163</v>
      </c>
      <c r="P66">
        <f t="shared" si="16"/>
        <v>73913.8190424054</v>
      </c>
      <c r="R66">
        <f t="shared" si="17"/>
        <v>79115.2425212083</v>
      </c>
      <c r="U66">
        <f t="shared" si="18"/>
        <v>9.43384901024746</v>
      </c>
      <c r="W66">
        <f t="shared" si="19"/>
        <v>14.6651764057815</v>
      </c>
      <c r="Y66">
        <f t="shared" si="20"/>
        <v>16.9998170394037</v>
      </c>
      <c r="AA66">
        <f t="shared" si="24"/>
        <v>0.100490636320542</v>
      </c>
      <c r="AB66">
        <f t="shared" si="21"/>
        <v>0.130460634746846</v>
      </c>
      <c r="AC66">
        <f t="shared" si="22"/>
        <v>0.303841417373612</v>
      </c>
    </row>
    <row r="67" spans="1:29">
      <c r="A67">
        <v>2082</v>
      </c>
      <c r="C67">
        <v>0.731090575797187</v>
      </c>
      <c r="D67">
        <f t="shared" si="23"/>
        <v>0.000964635615483656</v>
      </c>
      <c r="E67">
        <v>0.740604708064632</v>
      </c>
      <c r="F67">
        <f t="shared" ref="F67:F85" si="26">E68-E67</f>
        <v>0.00149100150374126</v>
      </c>
      <c r="G67">
        <v>0.792852406916024</v>
      </c>
      <c r="H67">
        <f t="shared" ref="H67:H85" si="27">G68-G67</f>
        <v>0.00149269192428458</v>
      </c>
      <c r="N67">
        <f t="shared" si="25"/>
        <v>73109.0575797187</v>
      </c>
      <c r="P67">
        <f t="shared" ref="P67:P85" si="28">E67*100000</f>
        <v>74060.4708064632</v>
      </c>
      <c r="R67">
        <f t="shared" ref="R67:R85" si="29">G67*100000</f>
        <v>79285.2406916024</v>
      </c>
      <c r="U67">
        <f t="shared" ref="U67:U85" si="30">D67*10000</f>
        <v>9.64635615483656</v>
      </c>
      <c r="W67">
        <f t="shared" ref="W67:W84" si="31">F67*10000</f>
        <v>14.9100150374126</v>
      </c>
      <c r="Y67">
        <f t="shared" ref="Y67:Y84" si="32">H67*10000</f>
        <v>14.9269192428458</v>
      </c>
      <c r="AA67">
        <f t="shared" si="24"/>
        <v>0.103635252657291</v>
      </c>
      <c r="AB67">
        <f t="shared" ref="AB67:AB84" si="33">(E67-0.7)/(1-0.7)</f>
        <v>0.135349026882107</v>
      </c>
      <c r="AC67">
        <f t="shared" ref="AC67:AC84" si="34">(G67-0.7)/(1-0.7)</f>
        <v>0.309508023053413</v>
      </c>
    </row>
    <row r="68" spans="1:29">
      <c r="A68">
        <v>2083</v>
      </c>
      <c r="C68">
        <v>0.732055211412671</v>
      </c>
      <c r="D68">
        <f t="shared" si="23"/>
        <v>0.000985456297683207</v>
      </c>
      <c r="E68">
        <v>0.742095709568373</v>
      </c>
      <c r="F68">
        <f t="shared" si="26"/>
        <v>0.001513239524915</v>
      </c>
      <c r="G68">
        <v>0.794345098840308</v>
      </c>
      <c r="H68">
        <f t="shared" si="27"/>
        <v>0.00131001783987938</v>
      </c>
      <c r="N68">
        <f t="shared" si="25"/>
        <v>73205.5211412671</v>
      </c>
      <c r="P68">
        <f t="shared" si="28"/>
        <v>74209.5709568373</v>
      </c>
      <c r="R68">
        <f t="shared" si="29"/>
        <v>79434.5098840308</v>
      </c>
      <c r="U68">
        <f t="shared" si="30"/>
        <v>9.85456297683207</v>
      </c>
      <c r="W68">
        <f t="shared" si="31"/>
        <v>15.13239524915</v>
      </c>
      <c r="Y68">
        <f t="shared" si="32"/>
        <v>13.1001783987938</v>
      </c>
      <c r="AA68">
        <f t="shared" si="24"/>
        <v>0.106850704708903</v>
      </c>
      <c r="AB68">
        <f t="shared" si="33"/>
        <v>0.140319031894578</v>
      </c>
      <c r="AC68">
        <f t="shared" si="34"/>
        <v>0.314483662801028</v>
      </c>
    </row>
    <row r="69" spans="1:29">
      <c r="A69">
        <v>2084</v>
      </c>
      <c r="C69">
        <v>0.733040667710354</v>
      </c>
      <c r="D69">
        <f t="shared" ref="D69:D86" si="35">C70-C69</f>
        <v>0.00100577636031707</v>
      </c>
      <c r="E69">
        <v>0.743608949093288</v>
      </c>
      <c r="F69">
        <f t="shared" si="26"/>
        <v>0.00153311424516978</v>
      </c>
      <c r="G69">
        <v>0.795655116680188</v>
      </c>
      <c r="H69">
        <f t="shared" si="27"/>
        <v>0.00113397781416968</v>
      </c>
      <c r="N69">
        <f t="shared" si="25"/>
        <v>73304.0667710354</v>
      </c>
      <c r="P69">
        <f t="shared" si="28"/>
        <v>74360.8949093288</v>
      </c>
      <c r="R69">
        <f t="shared" si="29"/>
        <v>79565.5116680188</v>
      </c>
      <c r="U69">
        <f t="shared" si="30"/>
        <v>10.0577636031707</v>
      </c>
      <c r="W69">
        <f t="shared" si="31"/>
        <v>15.3311424516978</v>
      </c>
      <c r="Y69">
        <f t="shared" si="32"/>
        <v>11.3397781416968</v>
      </c>
      <c r="AA69">
        <f t="shared" si="24"/>
        <v>0.110135559034514</v>
      </c>
      <c r="AB69">
        <f t="shared" si="33"/>
        <v>0.145363163644294</v>
      </c>
      <c r="AC69">
        <f t="shared" si="34"/>
        <v>0.31885038893396</v>
      </c>
    </row>
    <row r="70" spans="1:29">
      <c r="A70">
        <v>2085</v>
      </c>
      <c r="C70">
        <v>0.734046444070671</v>
      </c>
      <c r="D70">
        <f t="shared" si="35"/>
        <v>0.00102552281329327</v>
      </c>
      <c r="E70">
        <v>0.745142063338458</v>
      </c>
      <c r="F70">
        <f t="shared" si="26"/>
        <v>0.00155045281265931</v>
      </c>
      <c r="G70">
        <v>0.796789094494358</v>
      </c>
      <c r="H70">
        <f t="shared" si="27"/>
        <v>0.000962437730938515</v>
      </c>
      <c r="N70">
        <f t="shared" si="25"/>
        <v>73404.6444070671</v>
      </c>
      <c r="P70">
        <f t="shared" si="28"/>
        <v>74514.2063338458</v>
      </c>
      <c r="R70">
        <f t="shared" si="29"/>
        <v>79678.9094494358</v>
      </c>
      <c r="U70">
        <f t="shared" si="30"/>
        <v>10.2552281329327</v>
      </c>
      <c r="W70">
        <f t="shared" si="31"/>
        <v>15.5045281265931</v>
      </c>
      <c r="Y70">
        <f t="shared" si="32"/>
        <v>9.62437730938515</v>
      </c>
      <c r="AA70">
        <f t="shared" si="24"/>
        <v>0.113488146902238</v>
      </c>
      <c r="AB70">
        <f t="shared" si="33"/>
        <v>0.150473544461527</v>
      </c>
      <c r="AC70">
        <f t="shared" si="34"/>
        <v>0.322630314981192</v>
      </c>
    </row>
    <row r="71" spans="1:29">
      <c r="A71">
        <v>2086</v>
      </c>
      <c r="C71">
        <v>0.735071966883964</v>
      </c>
      <c r="D71">
        <f t="shared" si="35"/>
        <v>0.00104462296822716</v>
      </c>
      <c r="E71">
        <v>0.746692516151117</v>
      </c>
      <c r="F71">
        <f t="shared" si="26"/>
        <v>0.00156513878013897</v>
      </c>
      <c r="G71">
        <v>0.797751532225296</v>
      </c>
      <c r="H71">
        <f t="shared" si="27"/>
        <v>0.000799839266383939</v>
      </c>
      <c r="N71">
        <f t="shared" si="25"/>
        <v>73507.1966883964</v>
      </c>
      <c r="P71">
        <f t="shared" si="28"/>
        <v>74669.2516151117</v>
      </c>
      <c r="R71">
        <f t="shared" si="29"/>
        <v>79775.1532225296</v>
      </c>
      <c r="U71">
        <f t="shared" si="30"/>
        <v>10.4462296822716</v>
      </c>
      <c r="W71">
        <f t="shared" si="31"/>
        <v>15.6513878013897</v>
      </c>
      <c r="Y71">
        <f t="shared" si="32"/>
        <v>7.99839266383939</v>
      </c>
      <c r="AA71">
        <f t="shared" si="24"/>
        <v>0.116906556279882</v>
      </c>
      <c r="AB71">
        <f t="shared" si="33"/>
        <v>0.155641720503725</v>
      </c>
      <c r="AC71">
        <f t="shared" si="34"/>
        <v>0.325838440750987</v>
      </c>
    </row>
    <row r="72" spans="1:29">
      <c r="A72">
        <v>2087</v>
      </c>
      <c r="C72">
        <v>0.736116589852192</v>
      </c>
      <c r="D72">
        <f t="shared" si="35"/>
        <v>0.00106300600561682</v>
      </c>
      <c r="E72">
        <v>0.748257654931256</v>
      </c>
      <c r="F72">
        <f t="shared" si="26"/>
        <v>0.00157706082708575</v>
      </c>
      <c r="G72">
        <v>0.79855137149168</v>
      </c>
      <c r="H72">
        <f t="shared" si="27"/>
        <v>0.000721781857877635</v>
      </c>
      <c r="N72">
        <f t="shared" si="25"/>
        <v>73611.6589852192</v>
      </c>
      <c r="P72">
        <f t="shared" si="28"/>
        <v>74825.7654931256</v>
      </c>
      <c r="R72">
        <f t="shared" si="29"/>
        <v>79855.137149168</v>
      </c>
      <c r="U72">
        <f t="shared" si="30"/>
        <v>10.6300600561682</v>
      </c>
      <c r="W72">
        <f t="shared" si="31"/>
        <v>15.7706082708575</v>
      </c>
      <c r="Y72">
        <f t="shared" si="32"/>
        <v>7.21781857877635</v>
      </c>
      <c r="AA72">
        <f t="shared" si="24"/>
        <v>0.120388632840639</v>
      </c>
      <c r="AB72">
        <f t="shared" si="33"/>
        <v>0.160858849770854</v>
      </c>
      <c r="AC72">
        <f t="shared" si="34"/>
        <v>0.328504571638933</v>
      </c>
    </row>
    <row r="73" spans="1:29">
      <c r="A73">
        <v>2088</v>
      </c>
      <c r="C73">
        <v>0.737179595857808</v>
      </c>
      <c r="D73">
        <f t="shared" si="35"/>
        <v>0.00108060370378915</v>
      </c>
      <c r="E73">
        <v>0.749834715758342</v>
      </c>
      <c r="F73">
        <f t="shared" si="26"/>
        <v>0.00158613998577983</v>
      </c>
      <c r="G73">
        <v>0.799273153349558</v>
      </c>
      <c r="H73">
        <f t="shared" si="27"/>
        <v>0.000513750940686619</v>
      </c>
      <c r="N73">
        <f t="shared" si="25"/>
        <v>73717.9595857808</v>
      </c>
      <c r="P73">
        <f t="shared" si="28"/>
        <v>74983.4715758342</v>
      </c>
      <c r="R73">
        <f t="shared" si="29"/>
        <v>79927.3153349558</v>
      </c>
      <c r="U73">
        <f t="shared" si="30"/>
        <v>10.8060370378915</v>
      </c>
      <c r="W73">
        <f t="shared" si="31"/>
        <v>15.8613998577983</v>
      </c>
      <c r="Y73">
        <f t="shared" si="32"/>
        <v>5.13750940686619</v>
      </c>
      <c r="AA73">
        <f t="shared" si="24"/>
        <v>0.123931986192695</v>
      </c>
      <c r="AB73">
        <f t="shared" si="33"/>
        <v>0.166115719194474</v>
      </c>
      <c r="AC73">
        <f t="shared" si="34"/>
        <v>0.330910511165192</v>
      </c>
    </row>
    <row r="74" spans="1:29">
      <c r="A74">
        <v>2089</v>
      </c>
      <c r="C74">
        <v>0.738260199561598</v>
      </c>
      <c r="D74">
        <f t="shared" si="35"/>
        <v>0.00109735083685458</v>
      </c>
      <c r="E74">
        <v>0.751420855744122</v>
      </c>
      <c r="F74">
        <f t="shared" si="26"/>
        <v>0.00159231966346374</v>
      </c>
      <c r="G74">
        <v>0.799786904290244</v>
      </c>
      <c r="H74">
        <f t="shared" si="27"/>
        <v>0.000357554204994615</v>
      </c>
      <c r="N74">
        <f t="shared" si="25"/>
        <v>73826.0199561598</v>
      </c>
      <c r="P74">
        <f t="shared" si="28"/>
        <v>75142.0855744122</v>
      </c>
      <c r="R74">
        <f t="shared" si="29"/>
        <v>79978.6904290244</v>
      </c>
      <c r="U74">
        <f t="shared" si="30"/>
        <v>10.9735083685458</v>
      </c>
      <c r="W74">
        <f t="shared" si="31"/>
        <v>15.9231966346374</v>
      </c>
      <c r="Y74">
        <f t="shared" si="32"/>
        <v>3.57554204994615</v>
      </c>
      <c r="AA74">
        <f t="shared" si="24"/>
        <v>0.127533998538659</v>
      </c>
      <c r="AB74">
        <f t="shared" si="33"/>
        <v>0.171402852480406</v>
      </c>
      <c r="AC74">
        <f t="shared" si="34"/>
        <v>0.332623014300814</v>
      </c>
    </row>
    <row r="75" spans="1:29">
      <c r="A75">
        <v>2090</v>
      </c>
      <c r="C75">
        <v>0.739357550398452</v>
      </c>
      <c r="D75">
        <f t="shared" si="35"/>
        <v>0.00108165333640753</v>
      </c>
      <c r="E75">
        <v>0.753013175407586</v>
      </c>
      <c r="F75">
        <f t="shared" si="26"/>
        <v>0.00155302284214776</v>
      </c>
      <c r="G75">
        <v>0.800144458495239</v>
      </c>
      <c r="H75">
        <f t="shared" si="27"/>
        <v>0.000259905853634113</v>
      </c>
      <c r="N75">
        <f t="shared" si="25"/>
        <v>73935.7550398452</v>
      </c>
      <c r="P75">
        <f t="shared" si="28"/>
        <v>75301.3175407586</v>
      </c>
      <c r="R75">
        <f t="shared" si="29"/>
        <v>80014.4458495239</v>
      </c>
      <c r="U75">
        <f t="shared" si="30"/>
        <v>10.8165333640753</v>
      </c>
      <c r="W75">
        <f t="shared" si="31"/>
        <v>15.5302284214776</v>
      </c>
      <c r="Y75">
        <f t="shared" si="32"/>
        <v>2.59905853634113</v>
      </c>
      <c r="AA75">
        <f t="shared" si="24"/>
        <v>0.131191834661507</v>
      </c>
      <c r="AB75">
        <f t="shared" si="33"/>
        <v>0.176710584691952</v>
      </c>
      <c r="AC75">
        <f t="shared" si="34"/>
        <v>0.333814861650796</v>
      </c>
    </row>
    <row r="76" spans="1:29">
      <c r="A76">
        <v>2091</v>
      </c>
      <c r="C76">
        <v>0.74043920373486</v>
      </c>
      <c r="D76">
        <f t="shared" si="35"/>
        <v>0.00109593146333398</v>
      </c>
      <c r="E76">
        <v>0.754566198249733</v>
      </c>
      <c r="F76">
        <f t="shared" si="26"/>
        <v>0.00155235578706647</v>
      </c>
      <c r="G76">
        <v>0.800404364348873</v>
      </c>
      <c r="H76">
        <f t="shared" si="27"/>
        <v>0.000156798731518082</v>
      </c>
      <c r="N76">
        <f t="shared" si="25"/>
        <v>74043.920373486</v>
      </c>
      <c r="P76">
        <f t="shared" si="28"/>
        <v>75456.6198249733</v>
      </c>
      <c r="R76">
        <f t="shared" si="29"/>
        <v>80040.4364348873</v>
      </c>
      <c r="U76">
        <f t="shared" si="30"/>
        <v>10.9593146333398</v>
      </c>
      <c r="W76">
        <f t="shared" si="31"/>
        <v>15.5235578706647</v>
      </c>
      <c r="Y76">
        <f t="shared" si="32"/>
        <v>1.56798731518082</v>
      </c>
      <c r="AA76">
        <f t="shared" si="24"/>
        <v>0.134797345782866</v>
      </c>
      <c r="AB76">
        <f t="shared" si="33"/>
        <v>0.181887327499111</v>
      </c>
      <c r="AC76">
        <f t="shared" si="34"/>
        <v>0.334681214496243</v>
      </c>
    </row>
    <row r="77" spans="1:29">
      <c r="A77">
        <v>2092</v>
      </c>
      <c r="C77">
        <v>0.741535135198194</v>
      </c>
      <c r="D77">
        <f t="shared" si="35"/>
        <v>0.00110914994910938</v>
      </c>
      <c r="E77">
        <v>0.7561185540368</v>
      </c>
      <c r="F77">
        <f t="shared" si="26"/>
        <v>0.00154886117817643</v>
      </c>
      <c r="G77">
        <v>0.800561163080391</v>
      </c>
      <c r="H77">
        <f t="shared" si="27"/>
        <v>5.2534196370968e-5</v>
      </c>
      <c r="N77">
        <f t="shared" si="25"/>
        <v>74153.5135198194</v>
      </c>
      <c r="P77">
        <f t="shared" si="28"/>
        <v>75611.85540368</v>
      </c>
      <c r="R77">
        <f t="shared" si="29"/>
        <v>80056.1163080391</v>
      </c>
      <c r="U77">
        <f t="shared" si="30"/>
        <v>11.0914994910938</v>
      </c>
      <c r="W77">
        <f t="shared" si="31"/>
        <v>15.4886117817643</v>
      </c>
      <c r="Y77">
        <f t="shared" si="32"/>
        <v>0.52534196370968</v>
      </c>
      <c r="AA77">
        <f t="shared" si="24"/>
        <v>0.138450450660646</v>
      </c>
      <c r="AB77">
        <f t="shared" si="33"/>
        <v>0.187061846789333</v>
      </c>
      <c r="AC77">
        <f t="shared" si="34"/>
        <v>0.335203876934637</v>
      </c>
    </row>
    <row r="78" spans="1:29">
      <c r="A78">
        <v>2093</v>
      </c>
      <c r="C78">
        <v>0.742644285147303</v>
      </c>
      <c r="D78">
        <f t="shared" si="35"/>
        <v>0.0011212915270763</v>
      </c>
      <c r="E78">
        <v>0.757667415214976</v>
      </c>
      <c r="F78">
        <f t="shared" si="26"/>
        <v>0.00154258302936483</v>
      </c>
      <c r="G78">
        <v>0.800613697276762</v>
      </c>
      <c r="H78">
        <f t="shared" si="27"/>
        <v>7.60532334287412e-6</v>
      </c>
      <c r="N78">
        <f t="shared" si="25"/>
        <v>74264.4285147303</v>
      </c>
      <c r="P78">
        <f t="shared" si="28"/>
        <v>75766.7415214976</v>
      </c>
      <c r="R78">
        <f t="shared" si="29"/>
        <v>80061.3697276762</v>
      </c>
      <c r="U78">
        <f t="shared" si="30"/>
        <v>11.212915270763</v>
      </c>
      <c r="W78">
        <f t="shared" si="31"/>
        <v>15.4258302936483</v>
      </c>
      <c r="Y78">
        <f t="shared" si="32"/>
        <v>0.0760532334287412</v>
      </c>
      <c r="AA78">
        <f t="shared" si="24"/>
        <v>0.142147617157677</v>
      </c>
      <c r="AB78">
        <f t="shared" si="33"/>
        <v>0.192224717383254</v>
      </c>
      <c r="AC78">
        <f t="shared" si="34"/>
        <v>0.33537899092254</v>
      </c>
    </row>
    <row r="79" spans="1:29">
      <c r="A79">
        <v>2094</v>
      </c>
      <c r="C79">
        <v>0.743765576674379</v>
      </c>
      <c r="D79">
        <f t="shared" si="35"/>
        <v>0.00113232174234712</v>
      </c>
      <c r="E79">
        <v>0.759209998244341</v>
      </c>
      <c r="F79">
        <f t="shared" si="26"/>
        <v>0.00153360927807822</v>
      </c>
      <c r="G79">
        <v>0.800621302600105</v>
      </c>
      <c r="H79">
        <f t="shared" si="27"/>
        <v>-1.75128333775865e-5</v>
      </c>
      <c r="N79">
        <f t="shared" si="25"/>
        <v>74376.5576674379</v>
      </c>
      <c r="P79">
        <f t="shared" si="28"/>
        <v>75920.9998244341</v>
      </c>
      <c r="R79">
        <f t="shared" si="29"/>
        <v>80062.1302600105</v>
      </c>
      <c r="U79">
        <f t="shared" si="30"/>
        <v>11.3232174234712</v>
      </c>
      <c r="W79">
        <f t="shared" si="31"/>
        <v>15.3360927807822</v>
      </c>
      <c r="Y79">
        <f t="shared" si="32"/>
        <v>-0.175128333775865</v>
      </c>
      <c r="AA79">
        <f t="shared" si="24"/>
        <v>0.145885255581265</v>
      </c>
      <c r="AB79">
        <f t="shared" si="33"/>
        <v>0.19736666081447</v>
      </c>
      <c r="AC79">
        <f t="shared" si="34"/>
        <v>0.33540434200035</v>
      </c>
    </row>
    <row r="80" spans="1:29">
      <c r="A80">
        <v>2095</v>
      </c>
      <c r="C80">
        <v>0.744897898416726</v>
      </c>
      <c r="D80">
        <f t="shared" si="35"/>
        <v>0.00114220732965664</v>
      </c>
      <c r="E80">
        <v>0.760743607522419</v>
      </c>
      <c r="F80">
        <f t="shared" si="26"/>
        <v>0.00152204744384832</v>
      </c>
      <c r="G80">
        <v>0.800603789766727</v>
      </c>
      <c r="H80">
        <f t="shared" si="27"/>
        <v>-8.92936782304066e-5</v>
      </c>
      <c r="N80">
        <f t="shared" si="25"/>
        <v>74489.7898416727</v>
      </c>
      <c r="P80">
        <f t="shared" si="28"/>
        <v>76074.3607522419</v>
      </c>
      <c r="R80">
        <f t="shared" si="29"/>
        <v>80060.3789766727</v>
      </c>
      <c r="U80">
        <f t="shared" si="30"/>
        <v>11.4220732965664</v>
      </c>
      <c r="W80">
        <f t="shared" si="31"/>
        <v>15.2204744384832</v>
      </c>
      <c r="Y80">
        <f t="shared" si="32"/>
        <v>-0.892936782304066</v>
      </c>
      <c r="AA80">
        <f t="shared" si="24"/>
        <v>0.149659661389088</v>
      </c>
      <c r="AB80">
        <f t="shared" si="33"/>
        <v>0.202478691741398</v>
      </c>
      <c r="AC80">
        <f t="shared" si="34"/>
        <v>0.335345965889091</v>
      </c>
    </row>
    <row r="81" spans="1:29">
      <c r="A81">
        <v>2096</v>
      </c>
      <c r="C81">
        <v>0.746040105746383</v>
      </c>
      <c r="D81">
        <f t="shared" si="35"/>
        <v>0.00115092092936353</v>
      </c>
      <c r="E81">
        <v>0.762265654966268</v>
      </c>
      <c r="F81">
        <f t="shared" si="26"/>
        <v>0.00150803011147183</v>
      </c>
      <c r="G81">
        <v>0.800514496088497</v>
      </c>
      <c r="H81">
        <f t="shared" si="27"/>
        <v>-0.000186077537920992</v>
      </c>
      <c r="N81">
        <f t="shared" si="25"/>
        <v>74604.0105746383</v>
      </c>
      <c r="P81">
        <f t="shared" si="28"/>
        <v>76226.5654966268</v>
      </c>
      <c r="R81">
        <f t="shared" si="29"/>
        <v>80051.4496088497</v>
      </c>
      <c r="U81">
        <f t="shared" si="30"/>
        <v>11.5092092936353</v>
      </c>
      <c r="W81">
        <f t="shared" si="31"/>
        <v>15.0803011147183</v>
      </c>
      <c r="Y81">
        <f t="shared" si="32"/>
        <v>-1.86077537920992</v>
      </c>
      <c r="AA81">
        <f t="shared" si="24"/>
        <v>0.153467019154611</v>
      </c>
      <c r="AB81">
        <f t="shared" si="33"/>
        <v>0.207552183220892</v>
      </c>
      <c r="AC81">
        <f t="shared" si="34"/>
        <v>0.33504832029499</v>
      </c>
    </row>
    <row r="82" spans="1:29">
      <c r="A82">
        <v>2097</v>
      </c>
      <c r="C82">
        <v>0.747191026675747</v>
      </c>
      <c r="D82">
        <f t="shared" si="35"/>
        <v>0.00115940050521768</v>
      </c>
      <c r="E82">
        <v>0.763773685077739</v>
      </c>
      <c r="F82">
        <f t="shared" si="26"/>
        <v>0.00149170987789393</v>
      </c>
      <c r="G82">
        <v>0.800328418550576</v>
      </c>
      <c r="H82">
        <f t="shared" si="27"/>
        <v>-0.000110092231015546</v>
      </c>
      <c r="N82">
        <f t="shared" si="25"/>
        <v>74719.1026675747</v>
      </c>
      <c r="P82">
        <f t="shared" si="28"/>
        <v>76377.368507774</v>
      </c>
      <c r="R82">
        <f t="shared" si="29"/>
        <v>80032.8418550576</v>
      </c>
      <c r="U82">
        <f t="shared" si="30"/>
        <v>11.5940050521768</v>
      </c>
      <c r="W82">
        <f t="shared" si="31"/>
        <v>14.9170987789393</v>
      </c>
      <c r="Y82">
        <f t="shared" si="32"/>
        <v>-1.10092231015546</v>
      </c>
      <c r="AA82">
        <f t="shared" si="24"/>
        <v>0.157303422252489</v>
      </c>
      <c r="AB82">
        <f t="shared" si="33"/>
        <v>0.212578950259132</v>
      </c>
      <c r="AC82">
        <f t="shared" si="34"/>
        <v>0.334428061835253</v>
      </c>
    </row>
    <row r="83" spans="1:29">
      <c r="A83">
        <v>2098</v>
      </c>
      <c r="C83">
        <v>0.748350427180964</v>
      </c>
      <c r="D83">
        <f t="shared" si="35"/>
        <v>0.0011656641759249</v>
      </c>
      <c r="E83">
        <v>0.765265394955633</v>
      </c>
      <c r="F83">
        <f t="shared" si="26"/>
        <v>0.00147325746366145</v>
      </c>
      <c r="G83">
        <v>0.80021832631956</v>
      </c>
      <c r="H83">
        <f t="shared" si="27"/>
        <v>-0.000109687681419945</v>
      </c>
      <c r="N83">
        <f t="shared" si="25"/>
        <v>74835.0427180964</v>
      </c>
      <c r="P83">
        <f t="shared" si="28"/>
        <v>76526.5394955633</v>
      </c>
      <c r="R83">
        <f t="shared" si="29"/>
        <v>80021.832631956</v>
      </c>
      <c r="U83">
        <f t="shared" si="30"/>
        <v>11.656641759249</v>
      </c>
      <c r="W83">
        <f t="shared" si="31"/>
        <v>14.7325746366145</v>
      </c>
      <c r="Y83">
        <f t="shared" si="32"/>
        <v>-1.09687681419945</v>
      </c>
      <c r="AA83">
        <f>(C83-0.7)/(1-0.7)</f>
        <v>0.161168090603215</v>
      </c>
      <c r="AB83">
        <f t="shared" si="33"/>
        <v>0.217551316518778</v>
      </c>
      <c r="AC83">
        <f t="shared" si="34"/>
        <v>0.334061087731868</v>
      </c>
    </row>
    <row r="84" spans="1:29">
      <c r="A84">
        <v>2099</v>
      </c>
      <c r="C84">
        <v>0.749516091356889</v>
      </c>
      <c r="D84">
        <f t="shared" si="35"/>
        <v>0.00117077111487784</v>
      </c>
      <c r="E84">
        <v>0.766738652419295</v>
      </c>
      <c r="F84">
        <f t="shared" si="26"/>
        <v>0.0014528583671487</v>
      </c>
      <c r="G84">
        <v>0.80010863863814</v>
      </c>
      <c r="H84">
        <f t="shared" si="27"/>
        <v>-0.000219434937169138</v>
      </c>
      <c r="N84">
        <f t="shared" si="25"/>
        <v>74951.6091356889</v>
      </c>
      <c r="P84">
        <f t="shared" si="28"/>
        <v>76673.8652419295</v>
      </c>
      <c r="R84">
        <f t="shared" si="29"/>
        <v>80010.863863814</v>
      </c>
      <c r="U84">
        <f t="shared" si="30"/>
        <v>11.7077111487784</v>
      </c>
      <c r="W84">
        <f t="shared" si="31"/>
        <v>14.528583671487</v>
      </c>
      <c r="Y84">
        <f t="shared" si="32"/>
        <v>-2.19434937169138</v>
      </c>
      <c r="AA84">
        <f>(C84-0.7)/(1-0.7)</f>
        <v>0.165053637856298</v>
      </c>
      <c r="AB84">
        <f t="shared" si="33"/>
        <v>0.222462174730983</v>
      </c>
      <c r="AC84">
        <f t="shared" si="34"/>
        <v>0.333695462127135</v>
      </c>
    </row>
    <row r="85" spans="1:18">
      <c r="A85">
        <v>2100</v>
      </c>
      <c r="C85">
        <v>0.750686862471767</v>
      </c>
      <c r="D85">
        <f t="shared" si="35"/>
        <v>-0.750686862471767</v>
      </c>
      <c r="E85">
        <v>0.768191510786444</v>
      </c>
      <c r="F85">
        <f t="shared" si="26"/>
        <v>-0.768191510786444</v>
      </c>
      <c r="G85">
        <v>0.799889203700971</v>
      </c>
      <c r="H85">
        <f t="shared" si="27"/>
        <v>-0.799889203700971</v>
      </c>
      <c r="N85">
        <f t="shared" si="25"/>
        <v>75068.6862471767</v>
      </c>
      <c r="P85">
        <f t="shared" si="28"/>
        <v>76819.1510786444</v>
      </c>
      <c r="R85">
        <f t="shared" si="29"/>
        <v>79988.9203700971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co2emission</vt:lpstr>
      <vt:lpstr>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14842</dc:creator>
  <cp:lastModifiedBy>14842</cp:lastModifiedBy>
  <dcterms:created xsi:type="dcterms:W3CDTF">2023-05-12T11:15:00Z</dcterms:created>
  <dcterms:modified xsi:type="dcterms:W3CDTF">2025-07-27T08:11:03Z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793A847BC6794C2897081D8028287E42_12</vt:lpwstr>
  </property>
</Properties>
</file>